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1.xml" ContentType="application/vnd.openxmlformats-officedocument.spreadsheetml.worksheet+xml"/>
  <Override PartName="/docProps/core.xml" ContentType="application/vnd.openxmlformats-package.core-properties+xml"/>
  <Override PartName="/xl/worksheets/sheet13.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12.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worksheets/sheet16.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7.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1" Type="http://schemas.openxmlformats.org/package/2006/relationships/metadata/core-properties" Target="docProps/core.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workbookPr/>
  <bookViews>
    <workbookView activeTab="0"/>
  </bookViews>
  <sheets>
    <sheet name="【条件指令汇总】" sheetId="1" r:id="rId3"/>
    <sheet name="对话" sheetId="2" r:id="rId4"/>
    <sheet name="角色立绘序号对照表" sheetId="3" r:id="rId5"/>
    <sheet name="选项(对话)" sheetId="4" r:id="rId6"/>
    <sheet name="事件" sheetId="5" r:id="rId7"/>
    <sheet name="选项(事件)" sheetId="6" r:id="rId8"/>
    <sheet name="任务" sheetId="7" r:id="rId9"/>
    <sheet name="条件" sheetId="8" r:id="rId10"/>
    <sheet name="人物" sheetId="9" r:id="rId11"/>
    <sheet name="文本(人物)" sheetId="10" r:id="rId12"/>
    <sheet name="立绘" sheetId="11" r:id="rId13"/>
    <sheet name="CG" sheetId="12" r:id="rId14"/>
    <sheet name="物品" sheetId="13" r:id="rId15"/>
    <sheet name="地图" sheetId="14" r:id="rId16"/>
    <sheet name="文本(UI)" sheetId="15" r:id="rId17"/>
    <sheet name="打工" sheetId="16" r:id="rId18"/>
    <sheet name="好感度" sheetId="17" r:id="rId19"/>
    <sheet name="旅店收益" sheetId="18" r:id="rId20"/>
  </sheets>
  <calcPr/>
</workbook>
</file>

<file path=xl/sharedStrings.xml><?xml version="1.0" encoding="utf-8"?>
<sst xmlns="http://schemas.openxmlformats.org/spreadsheetml/2006/main" count="1188" uniqueCount="1188">
  <si>
    <t/>
  </si>
  <si>
    <t>主指令</t>
  </si>
  <si>
    <t>指令分支</t>
  </si>
  <si>
    <t>指令格式</t>
  </si>
  <si>
    <t>案例</t>
  </si>
  <si>
    <t>注释</t>
  </si>
  <si>
    <t>条件</t>
  </si>
  <si>
    <t>物品数量判断</t>
  </si>
  <si>
    <t>大于等于</t>
  </si>
  <si>
    <t>背包# 【物品ID】 &gt;= 10</t>
  </si>
  <si>
    <t>背包# Item_Coin &gt;= 10</t>
  </si>
  <si>
    <t>物品ID查询【物品表】</t>
  </si>
  <si>
    <t>小于等于</t>
  </si>
  <si>
    <t>背包# 【物品ID】 &lt;= 10</t>
  </si>
  <si>
    <t>背包# Item_Coin &lt;= 10</t>
  </si>
  <si>
    <t>等于</t>
  </si>
  <si>
    <t>背包# 【物品ID】 == 10</t>
  </si>
  <si>
    <t>背包# Item_Coin == 10</t>
  </si>
  <si>
    <t>大于</t>
  </si>
  <si>
    <t>背包# 【物品ID】 &gt; 10</t>
  </si>
  <si>
    <t>背包# Item_Coin &gt; 10</t>
  </si>
  <si>
    <t>小于</t>
  </si>
  <si>
    <t>背包# 【物品ID】 &lt; 10</t>
  </si>
  <si>
    <t>背包# Item_Coin &lt; 10</t>
  </si>
  <si>
    <t>任务完成判断</t>
  </si>
  <si>
    <t>完成</t>
  </si>
  <si>
    <t>任务# 【任务ID】=1</t>
  </si>
  <si>
    <t>任务# Task_Test_01=1</t>
  </si>
  <si>
    <t>任务ID查询【任务表】</t>
  </si>
  <si>
    <t>未完成</t>
  </si>
  <si>
    <t>任务# 【任务ID】=0</t>
  </si>
  <si>
    <t>任务# Task_Test_01=0</t>
  </si>
  <si>
    <t>对话完成判断</t>
  </si>
  <si>
    <t>剧情# 【对话ID】=1</t>
  </si>
  <si>
    <t>剧情# P_Test_001-1=1</t>
  </si>
  <si>
    <t>对话ID查询【对话表】</t>
  </si>
  <si>
    <t>剧情# 【对话ID】=0</t>
  </si>
  <si>
    <t>剧情# P_Test_001-1=0</t>
  </si>
  <si>
    <t>特殊条件</t>
  </si>
  <si>
    <t>特殊# 【特殊条件ID】=1</t>
  </si>
  <si>
    <t>特殊# SP_001=1</t>
  </si>
  <si>
    <t>用于判断正常表达式无法判断的条件，需和程序提前沟通</t>
  </si>
  <si>
    <t>特殊# 【特殊条件ID】=0</t>
  </si>
  <si>
    <t>特殊# SP_001=0</t>
  </si>
  <si>
    <t>指令</t>
  </si>
  <si>
    <t>剧情演出</t>
  </si>
  <si>
    <t>立绘进入</t>
  </si>
  <si>
    <t>剧情.演出#【角色ID】.进入=0</t>
  </si>
  <si>
    <t>剧情.演出# CHA_西园寺雪.进入=0</t>
  </si>
  <si>
    <t>角色ID查询【人物表】</t>
  </si>
  <si>
    <t>立绘退出</t>
  </si>
  <si>
    <t>剧情.演出# CHA_西园寺雪.退出=0</t>
  </si>
  <si>
    <t>设置表情</t>
  </si>
  <si>
    <t>剧情.演出#【角色ID】.表情=【表情类型】</t>
  </si>
  <si>
    <t>剧情.演出# CHA_西园寺雪.表情=悲伤</t>
  </si>
  <si>
    <t>表情类型与动作类型若有新增则修改【角色立绘序号对照表】
角色需先进入后才能操作表情与动作</t>
  </si>
  <si>
    <t>设置动作</t>
  </si>
  <si>
    <t>剧情.演出#【角色ID】.动作=【动作类型】</t>
  </si>
  <si>
    <t>剧情.演出# CHA_西园寺雪.动作=点赞</t>
  </si>
  <si>
    <t>CG</t>
  </si>
  <si>
    <t>播放CG</t>
  </si>
  <si>
    <t>剧情.CG#【CGID】</t>
  </si>
  <si>
    <t>剧情.CG# CG_Test_01</t>
  </si>
  <si>
    <t>CGID参考【CG表】，在第一个CG正在播放时调用第二个CG将直接替换掉第一个CG</t>
  </si>
  <si>
    <t>停止播放</t>
  </si>
  <si>
    <t>剧情.CG# 移除</t>
  </si>
  <si>
    <t>背景图片</t>
  </si>
  <si>
    <t>展示图片</t>
  </si>
  <si>
    <t>剧情.图片# 【图片ID】</t>
  </si>
  <si>
    <t>剧情.图片# SCE_City_Night</t>
  </si>
  <si>
    <t>图片ID参考【立绘表】</t>
  </si>
  <si>
    <t>移除图片</t>
  </si>
  <si>
    <t>剧情.图片# 移除</t>
  </si>
  <si>
    <t>对话</t>
  </si>
  <si>
    <t>播放对话</t>
  </si>
  <si>
    <t>剧情.播放对话#【对话ID】</t>
  </si>
  <si>
    <t>剧情.播放对话# P_Test_001-1</t>
  </si>
  <si>
    <t>物品</t>
  </si>
  <si>
    <t>增加</t>
  </si>
  <si>
    <t>背包# 【物品ID】+【增加数量】</t>
  </si>
  <si>
    <t>背包# Item_Coin+100</t>
  </si>
  <si>
    <t>减少</t>
  </si>
  <si>
    <t>背包# 【物品ID】-【减少数量】</t>
  </si>
  <si>
    <t>背包# Item_Coin-100</t>
  </si>
  <si>
    <t>直接设置值</t>
  </si>
  <si>
    <t>背包# 【物品ID】=【目标数量】</t>
  </si>
  <si>
    <t>背包# Item_Coin=100</t>
  </si>
  <si>
    <t>地图</t>
  </si>
  <si>
    <t>进入地图</t>
  </si>
  <si>
    <t>地图.进入#【地图ID】</t>
  </si>
  <si>
    <t>地图.进入# Map_Room_001</t>
  </si>
  <si>
    <t>地图ID查询【地图表】</t>
  </si>
  <si>
    <t>增加时间</t>
  </si>
  <si>
    <t>地图.时间# +【小时】</t>
  </si>
  <si>
    <t>地图.时间# +1</t>
  </si>
  <si>
    <t>时间每过24h天数自动加1
当【设置时间】&lt;【当前时间】时，自动跳到下一天并设置时间（用于模拟上床睡觉固定时间起床）</t>
  </si>
  <si>
    <t>设置时间</t>
  </si>
  <si>
    <t>地图.时间# =【小时】</t>
  </si>
  <si>
    <t>地图.时间# =7</t>
  </si>
  <si>
    <t>增加天数</t>
  </si>
  <si>
    <t>地图.天数# +【天数】</t>
  </si>
  <si>
    <t>地图.天数# +1</t>
  </si>
  <si>
    <t>设置天数</t>
  </si>
  <si>
    <t>地图.天数# =【天数】</t>
  </si>
  <si>
    <t>地图.天数# =3</t>
  </si>
  <si>
    <t>任务</t>
  </si>
  <si>
    <t>获得任务</t>
  </si>
  <si>
    <t>任务.接取#【任务ID】</t>
  </si>
  <si>
    <t>任务.接取# Task_Test_01</t>
  </si>
  <si>
    <t>特殊</t>
  </si>
  <si>
    <t>特殊# 【特殊指令ID】</t>
  </si>
  <si>
    <t>特殊# SP_001</t>
  </si>
  <si>
    <t>用于完成正常表达式无法完成的指令，需要和程序提前沟通</t>
  </si>
  <si>
    <t>时间</t>
  </si>
  <si>
    <t>角色ID</t>
  </si>
  <si>
    <t>中文</t>
  </si>
  <si>
    <t>指令（换行间隔）</t>
  </si>
  <si>
    <t>剧情选项（换行间隔）</t>
  </si>
  <si>
    <t>场景立绘ID</t>
  </si>
  <si>
    <t>英文</t>
  </si>
  <si>
    <t>日文</t>
  </si>
  <si>
    <t>语音ID</t>
  </si>
  <si>
    <t>文本ID</t>
  </si>
  <si>
    <t>选项列表</t>
  </si>
  <si>
    <t>指令列表</t>
  </si>
  <si>
    <t>VOI_</t>
  </si>
  <si>
    <t>P_Test_001-1</t>
  </si>
  <si>
    <t>傍晚</t>
  </si>
  <si>
    <t>CHA_主角</t>
  </si>
  <si>
    <t>你们俩还真是像啊，明明都那么在乎对方，却都不肯说出口。</t>
  </si>
  <si>
    <t>剧情.演出# CHA_西园寺雪.进入=0
剧情.演出# CHA_影山菖蒲.进入=0</t>
  </si>
  <si>
    <t>You two are really alike. You clearly care so much about each other, yet neither of you is willing to say it out loud.</t>
  </si>
  <si>
    <t>二人とも本当に似ているね。お互いをこんなに大切に思っているのに、なかなか言い出せないんだから。</t>
  </si>
  <si>
    <t>VOI_P_Test_001-1</t>
  </si>
  <si>
    <t>("剧情.演出# CHA_西园寺雪.进入=0","剧情.演出# CHA_影山菖蒲.进入=0")</t>
  </si>
  <si>
    <t>P_Test_001-2</t>
  </si>
  <si>
    <t>CHA_西园寺雪</t>
  </si>
  <si>
    <t>谁、谁跟她像了！我只是……只是让她别烦我而已。</t>
  </si>
  <si>
    <t>W-Who's like her! I just... just pay her to stop bothering me.</t>
  </si>
  <si>
    <t>だ、誰が彼女なんかと似てるものか！私はただ…ただ金を払って、私に構わせないようにしているだけよ。</t>
  </si>
  <si>
    <t>VOI_P_Test_001-2</t>
  </si>
  <si>
    <t>P_Test_001-3</t>
  </si>
  <si>
    <t>CHA_影山菖蒲</t>
  </si>
  <si>
    <t>……</t>
  </si>
  <si>
    <t>VOI_P_Test_001-3</t>
  </si>
  <si>
    <t>("剧情.CG# CG_Test_01")</t>
  </si>
  <si>
    <t>P_Test_001-4</t>
  </si>
  <si>
    <t>CHA_旁白</t>
  </si>
  <si>
    <t>病床上的菖蒲沉默了片刻</t>
  </si>
  <si>
    <t>Shoubu was silent for a moment.</t>
  </si>
  <si>
    <t>菖蒲はしばらく沈黙した。</t>
  </si>
  <si>
    <t>("剧情.演出# CHA_西园寺雪.退出=0")</t>
  </si>
  <si>
    <t>P_Test_001-5</t>
  </si>
  <si>
    <t>雪小姐说得对，我只是在执行任务。</t>
  </si>
  <si>
    <t>Miss Yuki is right. I'm just carrying out a mission.</t>
  </si>
  <si>
    <t>雪さんの言う通りです。私はただ任務を遂行しているだけです。</t>
  </si>
  <si>
    <t>VOI_P_Test_001-5</t>
  </si>
  <si>
    <t>P_Test_001-6</t>
  </si>
  <si>
    <t>菖蒲，你明明为了她连命都不要了，还说什么任务？</t>
  </si>
  <si>
    <t>Shoubu, you've even risked your life for her, yet you call it a mission?</t>
  </si>
  <si>
    <t>菖蒲、あなたは彼女のために命さえ惜しまないのに、よく任務なんて言えるね？</t>
  </si>
  <si>
    <t>VOI_P_Test_001-6</t>
  </si>
  <si>
    <t>P_Test_001-7</t>
  </si>
  <si>
    <t>雪，你也知道，她不是为了钱才留在你身边的吧？</t>
  </si>
  <si>
    <t>剧情.演出# CHA_西园寺雪.进入=0
剧情.演出# CHA_影山菖蒲.退出=0</t>
  </si>
  <si>
    <t>Yuki, you know too, don't you? She's not staying by your side for the money.</t>
  </si>
  <si>
    <t>雪、あなたも分かっているでしょう？彼女はお金のためにあなたのそばにいるわけじゃないって。</t>
  </si>
  <si>
    <t>VOI_P_Test_001-7</t>
  </si>
  <si>
    <t>("剧情.演出# CHA_西园寺雪.进入=0","剧情.演出# CHA_影山菖蒲.退出=0")</t>
  </si>
  <si>
    <t>P_Test_001-8</t>
  </si>
  <si>
    <t>……我知道</t>
  </si>
  <si>
    <t>... I know.</t>
  </si>
  <si>
    <t>……分かってる。</t>
  </si>
  <si>
    <t>VOI_P_Test_001-8</t>
  </si>
  <si>
    <t>P_Test_001-9</t>
  </si>
  <si>
    <t>可是我不懂。为什么有人愿意为我做到这种地步？</t>
  </si>
  <si>
    <t>But I don't understand. Why would someone be willing to go this far for me?</t>
  </si>
  <si>
    <t>でも、私には分からない。どうして誰かが私のためにここまでしてくれるの？</t>
  </si>
  <si>
    <t>VOI_P_Test_001-9</t>
  </si>
  <si>
    <t>P_Test_001-10</t>
  </si>
  <si>
    <t>我又没给她什么……</t>
  </si>
  <si>
    <t>I haven't given her anything...</t>
  </si>
  <si>
    <t>私、彼女に何も与えていないのに……</t>
  </si>
  <si>
    <t>VOI_P_Test_001-10</t>
  </si>
  <si>
    <t>("剧情.演出# CHA_西园寺雪.表情=悲伤")</t>
  </si>
  <si>
    <t>P_Test_001-11</t>
  </si>
  <si>
    <t>因为……你对我来说，不是“任务”，也不是“恩情”。</t>
  </si>
  <si>
    <t>剧情.演出# CHA_影山菖蒲.进入=0</t>
  </si>
  <si>
    <t>Because... to me, you are neither a "mission" nor a "debt of gratitude."</t>
  </si>
  <si>
    <t>だって…あなたは私にとって、「任務」でも「恩」でもないから。</t>
  </si>
  <si>
    <t>VOI_P_Test_001-11</t>
  </si>
  <si>
    <t>("剧情.演出# CHA_影山菖蒲.进入=0")</t>
  </si>
  <si>
    <t>P_Test_001-12</t>
  </si>
  <si>
    <t>你是……我选择的家人。</t>
  </si>
  <si>
    <t>You are... the family I chose.</t>
  </si>
  <si>
    <t>あなたは…私が選んだ家族です。</t>
  </si>
  <si>
    <t>VOI_P_Test_001-12</t>
  </si>
  <si>
    <t>P_Test_001-13</t>
  </si>
  <si>
    <t>看吧，你们早就不是主仆，也不是敌人了。</t>
  </si>
  <si>
    <t>OPT_Test_001-A = P_Test_002-1
OPT_Test_001-B =</t>
  </si>
  <si>
    <t>See? You two are no longer master-servant, nor enemies.</t>
  </si>
  <si>
    <t>見ての通り、あなたたちはもう主従でも敵でもない。</t>
  </si>
  <si>
    <t>VOI_P_Test_001-13</t>
  </si>
  <si>
    <t>("OPT_Test_001-A = P_Test_002-1","OPT_Test_001-B =")</t>
  </si>
  <si>
    <t>P_Test_002-1</t>
  </si>
  <si>
    <t>谁、谁要跟你一起幸福啊……我只是暂时没地方去而已。</t>
  </si>
  <si>
    <t>剧情.演出# CHA_西园寺雪.表情=害羞
背包# Like_西园寺雪+1</t>
  </si>
  <si>
    <t>W-Who wants to be happy with you... I just don't have anywhere else to go for now.</t>
  </si>
  <si>
    <t>だ、誰があなたと一緒に幸せになんてなるもんか……ただ一時的に行く場所がないだけよ。</t>
  </si>
  <si>
    <t>VOI_P_Test_002-1</t>
  </si>
  <si>
    <t>("剧情.演出# CHA_西园寺雪.表情=害羞","背包# Like_西园寺雪+1")</t>
  </si>
  <si>
    <t>P_Test_002-2</t>
  </si>
  <si>
    <t>好好好，那你就“暂时”住着，等你想走的时候我也不拦你。</t>
  </si>
  <si>
    <t>Fine, fine. Then you can stay here "for now." When you want to leave, I won't stop you.</t>
  </si>
  <si>
    <t>はいはい。じゃあ、その「一時的に」住めばいい。出たいって言うときは止めないから。</t>
  </si>
  <si>
    <t>VOI_P_Test_002-2</t>
  </si>
  <si>
    <t>P_Test_002-3</t>
  </si>
  <si>
    <t>……雪小姐，其实我……也不想回那个家了。</t>
  </si>
  <si>
    <t>...Miss Yuki, actually I... don't want to go back to that home either.</t>
  </si>
  <si>
    <t>……雪さん、実は私……あの家にも戻りたくないんです。</t>
  </si>
  <si>
    <t>VOI_P_Test_002-3</t>
  </si>
  <si>
    <t>P_Test_002-4</t>
  </si>
  <si>
    <t>菖蒲……你怎么也……你不是一直劝我回去联姻吗？</t>
  </si>
  <si>
    <t>剧情.演出# CHA_西园寺雪.表情=默认</t>
  </si>
  <si>
    <t>Shoubu... you too... Weren't you the one always urging me to go back for an arranged marriage?</t>
  </si>
  <si>
    <t>菖蒲……あなたまで……いつも私に戻って政略結婚しろって言ってたのはあなたじゃない。</t>
  </si>
  <si>
    <t>VOI_P_Test_002-4</t>
  </si>
  <si>
    <t>("剧情.演出# CHA_西园寺雪.表情=默认")</t>
  </si>
  <si>
    <t>P_Test_002-5</t>
  </si>
  <si>
    <t>因为那时候我以为，只有那样你才能幸福。现在我明白了……</t>
  </si>
  <si>
    <t>Because back then I thought that was the only way you could be happy. Now I understand...</t>
  </si>
  <si>
    <t>だってあの頃は、それでしかあなたが幸せになれないと思っていたから。今は分かった……</t>
  </si>
  <si>
    <t>VOI_P_Test_002-5</t>
  </si>
  <si>
    <t>P_Test_002-6</t>
  </si>
  <si>
    <t>明白什么？</t>
  </si>
  <si>
    <t>Understand what?</t>
  </si>
  <si>
    <t>何が分かったの？</t>
  </si>
  <si>
    <t>VOI_P_Test_002-6</t>
  </si>
  <si>
    <t>P_Test_002-7</t>
  </si>
  <si>
    <t>幸福不是别人安排的，是自己选的。就像雪小姐选择逃出来一样。</t>
  </si>
  <si>
    <t>剧情.演出# CHA_影山菖蒲.表情=开心</t>
  </si>
  <si>
    <t>Happiness isn't something others arrange for you. It's something you choose for yourself. Just like Miss Yuki chose to run away.</t>
  </si>
  <si>
    <t>幸せは誰かに与えられるものじゃない。自分で選ぶものだ。雪さんが逃げ出す道を選んだように。</t>
  </si>
  <si>
    <t>VOI_P_Test_002-7</t>
  </si>
  <si>
    <t>("剧情.演出# CHA_影山菖蒲.表情=开心")</t>
  </si>
  <si>
    <t>P_Test_002-8</t>
  </si>
  <si>
    <t>菖蒲……你真的变了。以前你从来不会说这种话。</t>
  </si>
  <si>
    <t>Shoubu... you've really changed. You never used to say things like that.</t>
  </si>
  <si>
    <t>菖蒲……本当に変わったね。昔のあなたはそんなこと言わなかった。</t>
  </si>
  <si>
    <t>VOI_P_Test_002-8</t>
  </si>
  <si>
    <t>P_Test_002-9</t>
  </si>
  <si>
    <t>那你们俩以后打算怎么办？</t>
  </si>
  <si>
    <t>So what do you two plan to do from now on?</t>
  </si>
  <si>
    <t>じゃあ、二人はこれからどうするつもり？</t>
  </si>
  <si>
    <t>VOI_P_Test_002-9</t>
  </si>
  <si>
    <t>P_Test_002-10</t>
  </si>
  <si>
    <t>我想……和雪小姐一起，留在这里。如果……你愿意的话。</t>
  </si>
  <si>
    <t>剧情.演出# CHA_影山菖蒲.表情=害羞</t>
  </si>
  <si>
    <t>OPT_Test_002-A = P_Test_003-1
OPT_Test_002-B =</t>
  </si>
  <si>
    <t>I think... I want to stay here, with Miss Yuki. If... you're willing.</t>
  </si>
  <si>
    <t>私は……雪さんと一緒に、ここに残りたい。もし……あなたがよければ。</t>
  </si>
  <si>
    <t>VOI_P_Test_002-10</t>
  </si>
  <si>
    <t>("OPT_Test_002-A = P_Test_003-1","OPT_Test_002-B =")</t>
  </si>
  <si>
    <t>("剧情.演出# CHA_影山菖蒲.表情=害羞")</t>
  </si>
  <si>
    <t>P_Test_003-1</t>
  </si>
  <si>
    <t>......谢谢</t>
  </si>
  <si>
    <t>背包# Like_影山菖蒲+1</t>
  </si>
  <si>
    <t>VOI_P_Test_003-1</t>
  </si>
  <si>
    <t>("背包# Like_影山菖蒲+1")</t>
  </si>
  <si>
    <t>对应字符</t>
  </si>
  <si>
    <t>【动作】</t>
  </si>
  <si>
    <t>默认</t>
  </si>
  <si>
    <t>01</t>
  </si>
  <si>
    <t>【表情】</t>
  </si>
  <si>
    <t>开心</t>
  </si>
  <si>
    <t>02</t>
  </si>
  <si>
    <t>生气</t>
  </si>
  <si>
    <t>03</t>
  </si>
  <si>
    <t>悲伤</t>
  </si>
  <si>
    <t>04</t>
  </si>
  <si>
    <t>害羞</t>
  </si>
  <si>
    <t>05</t>
  </si>
  <si>
    <t>【服装】</t>
  </si>
  <si>
    <t>【人物】</t>
  </si>
  <si>
    <t>CHA_宫本奈奈</t>
  </si>
  <si>
    <t>CHA_佐藤阳菜</t>
  </si>
  <si>
    <t>CHA_铃木凛</t>
  </si>
  <si>
    <t>CHA_铃木葵</t>
  </si>
  <si>
    <t>CHA_白鸟凛子</t>
  </si>
  <si>
    <t>06</t>
  </si>
  <si>
    <t>CHA_田中美代子</t>
  </si>
  <si>
    <t>07</t>
  </si>
  <si>
    <t>CHA_田中小花</t>
  </si>
  <si>
    <t>08</t>
  </si>
  <si>
    <t>CHA_藤原静</t>
  </si>
  <si>
    <t>09</t>
  </si>
  <si>
    <t>10</t>
  </si>
  <si>
    <t>CHA_宫本晴子</t>
  </si>
  <si>
    <t>11</t>
  </si>
  <si>
    <t>CHA_神代雪音</t>
  </si>
  <si>
    <t>12</t>
  </si>
  <si>
    <t>CHA_蕾娜・莉希特娜瓦</t>
  </si>
  <si>
    <t>13</t>
  </si>
  <si>
    <t>选项出现条件（换行隔开）</t>
  </si>
  <si>
    <t>选项可用条件（换行隔开）</t>
  </si>
  <si>
    <t>选项结果（换行隔开）</t>
  </si>
  <si>
    <t>出现条件列表</t>
  </si>
  <si>
    <t>可用条件列表</t>
  </si>
  <si>
    <t>结果列表</t>
  </si>
  <si>
    <t>选项文本</t>
  </si>
  <si>
    <t>OPT_Test_001-A</t>
  </si>
  <si>
    <t>不如……试着一起留下，一起幸福。</t>
  </si>
  <si>
    <t>How about... trying to stay together, and be happy together?</t>
  </si>
  <si>
    <t>いっそ……一緒に残って、一緒に幸せになってみない？</t>
  </si>
  <si>
    <t>OPT_Test_001-B</t>
  </si>
  <si>
    <t>(结束对话)</t>
  </si>
  <si>
    <t>(End conversation)</t>
  </si>
  <si>
    <t>（会話を終了）</t>
  </si>
  <si>
    <t>OPT_Test_002-A</t>
  </si>
  <si>
    <t>当然可以</t>
  </si>
  <si>
    <t>Sure, why not.</t>
  </si>
  <si>
    <t>もちろんいいよ。</t>
  </si>
  <si>
    <t>OPT_Test_002-B</t>
  </si>
  <si>
    <t>......恕我拒绝，我可养不起两活爹</t>
  </si>
  <si>
    <t>...Sorry, but no. I can't afford to support two deadbeat dads.</t>
  </si>
  <si>
    <t>……でもお断りする。二人分の“生きてる親父”なんて養えないからね。</t>
  </si>
  <si>
    <t>所属地图ID</t>
  </si>
  <si>
    <t>显示图标ID</t>
  </si>
  <si>
    <t>屏幕位置坐标X</t>
  </si>
  <si>
    <t>屏幕位置坐标Y</t>
  </si>
  <si>
    <t>图标缩放X</t>
  </si>
  <si>
    <t>图标缩放Y</t>
  </si>
  <si>
    <t>执行指令（换行隔开）</t>
  </si>
  <si>
    <t>事件出现条件（换行隔开）</t>
  </si>
  <si>
    <t>选项（换行隔开）</t>
  </si>
  <si>
    <t>事件选项列表</t>
  </si>
  <si>
    <t>屏幕位置坐标</t>
  </si>
  <si>
    <t>图标缩放倍率</t>
  </si>
  <si>
    <t>执行指令</t>
  </si>
  <si>
    <t>(X=,Y=)</t>
  </si>
  <si>
    <t>CON_001-002</t>
  </si>
  <si>
    <t>Map_Room_001</t>
  </si>
  <si>
    <t>Icon_Arrow</t>
  </si>
  <si>
    <t>地图.进入# Map_Room_002
地图.时间# +0.5</t>
  </si>
  <si>
    <t>背包#Item_Coin&gt;3000</t>
  </si>
  <si>
    <t>("背包#Item_Coin&gt;3000")</t>
  </si>
  <si>
    <t>(X=170,Y=210)</t>
  </si>
  <si>
    <t>(X=-0.2,Y=0.2)</t>
  </si>
  <si>
    <t>("地图.进入# Map_Room_002","地图.时间# +0.5")</t>
  </si>
  <si>
    <t>CON_001-003</t>
  </si>
  <si>
    <t>地图.进入# Map_Room_003
地图.时间# +0.5</t>
  </si>
  <si>
    <t>(X=-170,Y=210)</t>
  </si>
  <si>
    <t>(X=0.2,Y=0.2)</t>
  </si>
  <si>
    <t>("地图.进入# Map_Room_003","地图.时间# +0.5")</t>
  </si>
  <si>
    <t>CON_002-001</t>
  </si>
  <si>
    <t>Map_Room_002</t>
  </si>
  <si>
    <t>地图.进入# Map_Room_001
地图.时间# +0.5</t>
  </si>
  <si>
    <t>(X=153.891803,Y=186.56305)</t>
  </si>
  <si>
    <t>("地图.进入# Map_Room_001","地图.时间# +0.5")</t>
  </si>
  <si>
    <t>CON_003-001</t>
  </si>
  <si>
    <t>Map_Room_003</t>
  </si>
  <si>
    <t>(X=-162.117432,Y=218.957585)</t>
  </si>
  <si>
    <t>CON_001-事件选项测试</t>
  </si>
  <si>
    <t>Icon_Heart</t>
  </si>
  <si>
    <t>背包#Item_Coin&gt;0</t>
  </si>
  <si>
    <t>OPT_Test_001
OPT_Test_002
OPT_Test_003</t>
  </si>
  <si>
    <t>("背包#Item_Coin&gt;0")</t>
  </si>
  <si>
    <t>(X=100,Y=0)</t>
  </si>
  <si>
    <t>(X=0.5,Y=0.5)</t>
  </si>
  <si>
    <t>CON_003-事件选项测试2</t>
  </si>
  <si>
    <t>OPT_Test_004</t>
  </si>
  <si>
    <t>("OPT_Test_004")</t>
  </si>
  <si>
    <t>(X=-120,Y=0)</t>
  </si>
  <si>
    <t>CON_001-剧情播放测试</t>
  </si>
  <si>
    <t>剧情.播放对话# P_Test_001-1
地图.天数#+1</t>
  </si>
  <si>
    <t>(X=0,Y=0)</t>
  </si>
  <si>
    <t>("剧情.播放对话# P_Test_001-1","地图.天数#+1")</t>
  </si>
  <si>
    <t>选项ID-A</t>
  </si>
  <si>
    <t>选项ID-B</t>
  </si>
  <si>
    <t>选项ID-C</t>
  </si>
  <si>
    <t>OPT_Test_001</t>
  </si>
  <si>
    <t>背包#Item_Coin&gt;=10</t>
  </si>
  <si>
    <t>背包# Item_Coin-10</t>
  </si>
  <si>
    <t>捐助10元</t>
  </si>
  <si>
    <t>Donate 10 yuan</t>
  </si>
  <si>
    <t>10元寄付する</t>
  </si>
  <si>
    <t>("背包#Item_Coin&gt;=10")</t>
  </si>
  <si>
    <t>("背包# Item_Coin-10")</t>
  </si>
  <si>
    <t>OPT_Test_002</t>
  </si>
  <si>
    <t>背包#Item_Coin&gt;=100</t>
  </si>
  <si>
    <t>捐助100元</t>
  </si>
  <si>
    <t>Donate 100 yuan</t>
  </si>
  <si>
    <t>100元寄付する</t>
  </si>
  <si>
    <t>("背包#Item_Coin&gt;=100")</t>
  </si>
  <si>
    <t>("背包# Item_Coin-100")</t>
  </si>
  <si>
    <t>OPT_Test_003</t>
  </si>
  <si>
    <t>背包#Item_Coin&gt;=1000</t>
  </si>
  <si>
    <t>背包# Item_Coin-1000</t>
  </si>
  <si>
    <t>捐助1000元</t>
  </si>
  <si>
    <t>Donate 1000 yuan</t>
  </si>
  <si>
    <t>1000元寄付する</t>
  </si>
  <si>
    <t>("背包#Item_Coin&gt;=1000")</t>
  </si>
  <si>
    <t>("背包# Item_Coin-1000")</t>
  </si>
  <si>
    <t>背包# Item_Test_01+10
背包# Item_Test_02+10
背包# Item_Test_03+10
背包# Item_Test_04+10
背包# Item_Test_05+10
背包# Item_Test_06+10
背包# Item_Test_07+10</t>
  </si>
  <si>
    <t>我需要钱</t>
  </si>
  <si>
    <t>("背包# Item_Test_01+10","背包# Item_Test_02+10","背包# Item_Test_03+10","背包# Item_Test_04+10","背包# Item_Test_05+10","背包# Item_Test_06+10","背包# Item_Test_07+10")</t>
  </si>
  <si>
    <t>任务类型</t>
  </si>
  <si>
    <t>是否持续监听</t>
  </si>
  <si>
    <t>任务标题</t>
  </si>
  <si>
    <t>任务描述</t>
  </si>
  <si>
    <t>子任务列表（换行分割）</t>
  </si>
  <si>
    <t>出现条件列表（换行分割）</t>
  </si>
  <si>
    <t>完成条件列表（换行分割，或关系，若存在子任务则默认需完成所有子任务）</t>
  </si>
  <si>
    <t>完成奖励列表（换行分割）</t>
  </si>
  <si>
    <t>子任务列表</t>
  </si>
  <si>
    <t>完成条件列表</t>
  </si>
  <si>
    <t>完成奖励列表</t>
  </si>
  <si>
    <t>Task_Test_01</t>
  </si>
  <si>
    <t>TXT_TaskType_主线</t>
  </si>
  <si>
    <t>False</t>
  </si>
  <si>
    <t>凑齐医药费</t>
  </si>
  <si>
    <t>凑齐医药费凑齐医药费凑齐医药费凑齐医药费凑齐医药费凑齐医药费凑齐医药费凑齐医药费凑齐医药费凑齐医药费凑齐医药费凑齐医药费凑齐医药费凑齐医药费凑齐医药费凑齐医药费凑齐医药费凑齐医药费凑齐医药费凑齐医药费凑齐医药费</t>
  </si>
  <si>
    <t>Task_Test_01-1
Task_Test_01-2
Task_Test_01-3
Task_Test_01-4</t>
  </si>
  <si>
    <t>任务.接取# Task_Test_02
背包# Item_Coin+100</t>
  </si>
  <si>
    <t>("Task_Test_01-1","Task_Test_01-2","Task_Test_01-3","Task_Test_01-4")</t>
  </si>
  <si>
    <t>("任务.接取# Task_Test_02","背包# Item_Coin+100")</t>
  </si>
  <si>
    <t>Task_Test_01-1</t>
  </si>
  <si>
    <t>TXT_TaskType_子任务</t>
  </si>
  <si>
    <t>拥有10金币</t>
  </si>
  <si>
    <t>Task_Test_01-2</t>
  </si>
  <si>
    <t>拥有100金币</t>
  </si>
  <si>
    <t>Task_Test_01-3</t>
  </si>
  <si>
    <t>True</t>
  </si>
  <si>
    <t>拥有1000金币</t>
  </si>
  <si>
    <t>Task_Test_01-4</t>
  </si>
  <si>
    <t>与雪对话</t>
  </si>
  <si>
    <t>任务# Task_Test_01-3=1</t>
  </si>
  <si>
    <t>("任务# Task_Test_01-3=1")</t>
  </si>
  <si>
    <t>("剧情# P_Test_001-1=1")</t>
  </si>
  <si>
    <t>Task_Test_02</t>
  </si>
  <si>
    <t>TXT_TaskType_支线</t>
  </si>
  <si>
    <t xml:space="preserve">支线任务测试  </t>
  </si>
  <si>
    <t>背包#Item_Coin&gt;=10000</t>
  </si>
  <si>
    <t>("背包#Item_Coin&gt;=10000")</t>
  </si>
  <si>
    <t>特殊条件ID</t>
  </si>
  <si>
    <t>备注</t>
  </si>
  <si>
    <t>姓名</t>
  </si>
  <si>
    <t>年龄</t>
  </si>
  <si>
    <t>身份</t>
  </si>
  <si>
    <t>性格</t>
  </si>
  <si>
    <t>标签</t>
  </si>
  <si>
    <t>隐藏设定</t>
  </si>
  <si>
    <t>主线剧情</t>
  </si>
  <si>
    <t>初始剧情</t>
  </si>
  <si>
    <t>初识</t>
  </si>
  <si>
    <t>危机</t>
  </si>
  <si>
    <t>表现</t>
  </si>
  <si>
    <t>告白</t>
  </si>
  <si>
    <t>结局</t>
  </si>
  <si>
    <t>TXT_Name_CHA_主角</t>
  </si>
  <si>
    <t>TXT_Identify_CHA_主角</t>
  </si>
  <si>
    <t>TXT_Name_CHA_宫本奈奈</t>
  </si>
  <si>
    <t>TXT_Identify_CHA_宫本奈奈</t>
  </si>
  <si>
    <t>温柔体贴的甜系少女，永远带着甜甜的笑容，会默默记住你所有的喜好，偶尔会因为害羞脸红到耳根，但是在制作甜品的时候会变得格外认真专注，眼神里满是光芒。</t>
  </si>
  <si>
    <t>甜品师青梅；小镇甜妹</t>
  </si>
  <si>
    <t>小时候就偷偷把你的名字刻在了甜品店的柜台底下，每年都会在你生日的时候做专属的红豆铜锣烧。</t>
  </si>
  <si>
    <t>她的甜品店最近遇到了经营困难，东京的连锁甜品店想要收购她的店，你需要帮她一起想办法，做新的甜品，吸引客人，帮她守住自己的小店，最后帮她实现梦想，把小店做成了网红店，开到了东京。</t>
  </si>
  <si>
    <t>刚到小镇的第一天，奈奈就抱着刚做好的铜锣烧来找你，笑着说 “阿哲，好久不见，我就知道你会来！”</t>
  </si>
  <si>
    <t>奈奈从小就和你认识，小时候你每年暑假都会来小镇玩，她一直记得你最喜欢吃的红豆铜锣烧。她的小店刚开了一年，虽然客人不多，但她每天都很开心地做着甜品。</t>
  </si>
  <si>
    <t>春末的时候，东京的连锁甜品品牌「Sweets Land」开到了小镇，装修豪华，价格便宜，一下子抢走了奈奈所有的客人。连锁品牌的老板找到奈奈，提出要收购她的店，开一家分店，给她一笔不错的转让费。</t>
  </si>
  <si>
    <t>你看着奈奈偷偷掉眼泪，决定帮她守住小店。你们一起研究新的甜品，结合小镇的特色，开发出了 “温泉馒头冰淇淋”、“海鲜奶冻” 这些奇怪却好吃的创意甜品；你帮她拍了小店的宣传照片，发到了网上，没想到一下子火了，很多东京的游客都专门开车来小镇吃她的甜品。</t>
  </si>
  <si>
    <t>在一次深夜试做甜品的时候，奈奈不小心被烫到了手，你帮她包扎，她红着脸说：“其实…… 我从小就等着你来，等着和你一起把小店开到东京去。”</t>
  </si>
  <si>
    <t>一年后，奈奈的小店成了小镇的网红店，她终于在东京开了第一家分店。你陪着她去东京参加开业典礼，她在所有客人面前，红着脸对你说：“阿哲，你愿意做我一辈子的甜品试吃员吗？”</t>
  </si>
  <si>
    <t>TXT_Name_CHA_佐藤阳菜</t>
  </si>
  <si>
    <t>TXT_Identify_CHA_佐藤阳菜</t>
  </si>
  <si>
    <t>元气满满的小太阳，永远充满活力，不管什么时候都能笑着面对一切，唱歌的时候会整个人发光，但是在陌生人面前会特别怕生，会下意识躲在奈奈的身后。</t>
  </si>
  <si>
    <t>元气歌姬；怕生小太阳</t>
  </si>
  <si>
    <t>练歌的时候会不自觉地晃脚，写的第一首歌就是写给你的，只是一直不敢给你听。</t>
  </si>
  <si>
    <t>她一直不敢去参加东京的选秀，因为害怕自己不够好，你需要鼓励她，帮她练歌，帮她拍试唱的视频，最后她成功通过了选秀，去东京出道，你成为了她的专属经纪人。</t>
  </si>
  <si>
    <t>开学第一天，你在教室门口撞到了一个元气满满的女生，她手里抱着吉他，一下子摔倒在地，却马上爬起来笑着对你说 “对不起对不起！我太急着去练歌了！”</t>
  </si>
  <si>
    <t>阳菜就像小太阳一样，永远充满活力，每天早上都会在学校的天台上练歌，你经常会路过那里，听到她清澈的歌声。她很怕生，除了奈奈之外，很少和别人说话，但是和你熟悉之后，就会把所有的心事都告诉你。</t>
  </si>
  <si>
    <t>夏天的时候，东京的偶像事务所来小镇选秀，阳菜的朋友帮她报了名，她顺利通过了初审，但是却不敢去东京参加复试。她告诉你，她害怕自己不够好，害怕大城市的压力，害怕去了东京之后，就再也回不到这个小镇了。</t>
  </si>
  <si>
    <t>你陪着她在天台上练歌，帮她拍了试唱的视频，帮她修改简历。你告诉她：“你的歌声那么好听，应该让更多人听到。如果你在东京待得不开心，随时回来，小镇永远有你的位置。”</t>
  </si>
  <si>
    <t>在花火大会的晚上，阳菜穿着浴衣，拉着你去了海边，她给你唱了一首她自己写的歌，歌词里全是对你的心意。唱完之后，她红着脸对你说：“我去了东京之后，你能不能做我的经纪人？这样…… 我们就永远不会分开了。”</t>
  </si>
  <si>
    <t>阳菜顺利通过了选秀，成为了偶像团体的主唱。你辞掉了小镇的工作，去东京做了她的专属经纪人，陪着她跑通告，开演唱会。每次她开演唱会，都会在最后唱那首写给你的歌，然后在几万观众的面前，对着你比心。</t>
  </si>
  <si>
    <t>TXT_Name_CHA_铃木凛</t>
  </si>
  <si>
    <t>TXT_Identify_CHA_铃木凛</t>
  </si>
  <si>
    <t>直爽率真的假小子，有什么说什么，从来不会拐弯抹角，特别护短，谁要是欺负你她第一个冲上去，但是在喜欢的人面前会变得格外别扭，明明关心你却总是嘴硬。</t>
  </si>
  <si>
    <t>渔家假小子；护短大姐头</t>
  </si>
  <si>
    <t>虽然看起来很凶，但是其实怕鬼，夏日祭的时候不敢去鬼屋，会偷偷抓着你的袖子。</t>
  </si>
  <si>
    <t>家里的渔店最近遇到了渔获减少的问题，还有外地的渔商想要低价收购家里的渔场，你需要帮她一起想办法，开发新的海鲜产品，做线上的销售，帮她守住家里的渔场，最后她把家里的渔店做成了全国有名的海鲜品牌。</t>
  </si>
  <si>
    <t>开学第一天，你在教室门口，一个女生拍了拍你的肩膀，大声说 “喂！新来的？听说你是东京来的？会不会游泳啊？周末跟我们去捕鱼啊！”</t>
  </si>
  <si>
    <t>凛是小镇出了名的假小子，能一个人搬起几十斤的渔货，打架也很厉害，谁要是欺负你，她第一个站出来。她说话很直，有什么说什么，但是其实内心很细腻，会偷偷给你留最新鲜的鱼。</t>
  </si>
  <si>
    <t>秋天的时候，因为近海的污染，渔获越来越少，家里的渔店快撑不下去了。这时候，外地的渔商找到了家里，想要低价收购家里的渔场，开发成度假村。凛的爸爸差点就答应了，但是凛死活不同意，这是她家传了三代的渔场，她不能就这么卖了。</t>
  </si>
  <si>
    <t>你和凛一起，把家里的海鲜做成了真空包装的海鲜干货，开了网店，你帮她做宣传，没想到东京的客人都很喜欢这种纯天然的海鲜。你们还开发了海钓体验项目，让来小镇的游客可以跟着你们一起出海捕鱼，一下子就火了。</t>
  </si>
  <si>
    <t>在一次出海的时候，遇到了暴风雨，船晃得很厉害，你差点掉下去，凛一把抓住了你，把你拉了回来。雨停了之后，她红着脸，别过头对你说：“喂…… 东京来的，你可不准死啊。你死了，谁帮我卖海鲜啊…… 还有，我好像…… 喜欢你。”</t>
  </si>
  <si>
    <t>两年后，铃木家的海鲜品牌成了全国有名的网红品牌，很多人都专门来他们的渔场买海鲜。凛成了渔场的老板，你成了她的合伙人，你们一起把家里的渔店开到了全国。每天早上，你们一起出海捕鱼，傍晚一起看日落，过着简单又幸福的生活。</t>
  </si>
  <si>
    <t>TXT_Name_CHA_铃木葵</t>
  </si>
  <si>
    <t>TXT_Identify_CHA_铃木葵</t>
  </si>
  <si>
    <t>天然呆的温柔少女，做事情总是慢半拍，非常善良，看到小虫子都会小心翼翼地把它放走，很容易害羞，一紧张就会脸红，但是画画的时候会变得格外专注，能坐一下午都不动。</t>
  </si>
  <si>
    <t>天然呆插画师；海边画手</t>
  </si>
  <si>
    <t>偷偷画了满满一本你的画像，从来不敢给别人看，只有你偶然看到过。</t>
  </si>
  <si>
    <t>她一直不敢把自己的画拿给别人看，因为害怕被别人嘲笑，你需要鼓励她，帮她把她的绘本投稿给出版社，最后她的绘本成功出版，成为了有名的插画师</t>
  </si>
  <si>
    <t>你第一次去海边的时候，看到一个女生安安静静地坐在悬崖上画画，你不小心踩到了石头发出声音，她吓了一跳，手里的画具都掉了下去，红着脸小声说 “对、对不起……”</t>
  </si>
  <si>
    <t>葵和姐姐完全不一样，她很安静，很害羞，说话很小声，总是喜欢一个人躲在海边画画。她画的画特别好看，把小镇的海、小镇的山、小镇的人都画得栩栩如生，但是她从来不敢把自己的画给别人看，她说她怕别人觉得她画得不好。</t>
  </si>
  <si>
    <t>你偶然看到了她的绘本，那是一本关于小镇的故事，讲了一个小女孩和海的故事，特别温暖。你鼓励她把绘本投稿给出版社，但是她不敢，她说她从来没有给别人看过自己的画，她害怕被拒绝。</t>
  </si>
  <si>
    <t>你陪着她，把她的画一张一张整理好，帮她写了投稿信，偷偷帮她寄了出去。过了一个月，出版社回信了，说他们很喜欢这个绘本，想要出版。葵收到信的时候，哭了好久，她说她从来没想过，自己的画真的能被别人喜欢。</t>
  </si>
  <si>
    <t>在一个傍晚，你们一起坐在悬崖上看日落，葵把一张画递给了你，那是你的画像，画里的你笑着看着她。她小声说：“其实…… 我画了很多你的画像。因为…… 和你在一起的时候，我就觉得很安心。你能不能…… 一直陪着我？”</t>
  </si>
  <si>
    <t>葵的绘本出版了，成了当年的畅销书，很多人都被绘本里温暖的小镇感动了。她成了有名的插画师，但是她还是喜欢住在小镇里，每天去海边画画。你成了她的专属模特，她的每一本绘本里，都有你的身影。</t>
  </si>
  <si>
    <t>TXT_Name_CHA_西园寺雪</t>
  </si>
  <si>
    <t>TXT_Identify_CHA_西园寺雪</t>
  </si>
  <si>
    <t>傲娇叛逆的大小姐，一开始对你很冷淡，说话带刺，总是一副不好惹的样子，但是内心其实非常柔软善良，只是不擅长表达自己的感情，熟悉之后会露出小孩子一样的可爱一面。</t>
  </si>
  <si>
    <t>傲娇大小姐；离家少女</t>
  </si>
  <si>
    <t>其实很怕黑，晚上不敢一个人睡，会偷偷开着灯，也很喜欢吃小镇的粗点心，只是之前不好意思说。</t>
  </si>
  <si>
    <t>她是因为家里要逼她联姻，所以才离家出走的，家里的人很快就找来了，你需要帮她一起对抗家里的安排，最后她成功脱离了家里的控制，和你一起在小镇开了一家小店。</t>
  </si>
  <si>
    <t>你第一次在旅店见到她的时候，她穿着一身名牌，坐在大厅里，一脸不爽地看着你，说 “喂，服务生，给我拿瓶水来，要进口的。”</t>
  </si>
  <si>
    <t>雪是东京的富家大小姐，因为家里要逼她和一个她不喜欢的商人联姻，所以偷偷跑了出来，躲到了这个小镇，住在了你小姨的旅店里。她一开始对你很冷淡，说话带刺，觉得你就是个乡下的穷小子，但是慢慢的，她发现你和她认识的那些有钱人不一样。</t>
  </si>
  <si>
    <t>冬天的时候，她家里的人终于找到了她，派了一堆保镖来，要把她强行带回东京。雪躲在你的房间里，吓得浑身发抖，她说她不想回去，不想嫁给那个她不喜欢的人。</t>
  </si>
  <si>
    <t>你把她藏在了后山的温泉里，然后去和她家里的人谈判。你告诉他们，雪已经长大了，她有权利选择自己的生活。你还拿出了雪在小镇做的手工，告诉他们，雪在这里很开心，她找到了自己想要的生活。</t>
  </si>
  <si>
    <t>那天晚上，雪抱着你，哭了好久，她说她从来没有想到，会有人为了她对抗她的家人。她红着脸对你说：“以前我觉得这个小镇好无聊，但是遇到你之后，我觉得，这里就是我的家了。你能不能…… 永远陪着我？”</t>
  </si>
  <si>
    <t>雪的家里终于妥协了，同意她留在小镇。你们一起在商店街开了一家小小的杂货铺，卖一些她从东京带来的小玩意，还有小镇的特产。每天，你们一起看店，一起泡温泉，过着简单又幸福的生活。</t>
  </si>
  <si>
    <t>TXT_Name_CHA_白鸟凛子</t>
  </si>
  <si>
    <t>TXT_Identify_CHA_白鸟凛子</t>
  </si>
  <si>
    <t>高冷疏离的冰山校花，不擅长和人打交道，看起来很难接近，但是其实内心非常努力，为了梦想一直在拼命，只是不知道怎么表达自己的感情，熟悉之后会露出很温柔的一面。</t>
  </si>
  <si>
    <t>高冷超模；冰山校花</t>
  </si>
  <si>
    <t>其实很喜欢吃甜的，但是怕胖不敢多吃，会偷偷买奈奈的甜品躲着吃。</t>
  </si>
  <si>
    <t>她一直想要参加国际模特大赛，但是没有钱去纽约，也没有好的作品集，你需要帮她拍作品集，帮她攒钱，最后她成功参加了大赛，成为了国际超模，你成为了她的专属摄影师。</t>
  </si>
  <si>
    <t>开学第一天，你在学校的走廊里看到了她，她穿着制服，长得特别好看，但是周围的人都不敢靠近她，她就像冰山一样，冷冷地看着前方。</t>
  </si>
  <si>
    <t>凛子是学校的校花，长得特别好看，平时在东京做平面模特，赚的钱都用来攒学费和比赛的费用。她很冷淡，不擅长和人打交道，大家都觉得她很高傲，但是其实她只是不知道怎么和别人相处。</t>
  </si>
  <si>
    <t>春天的时候，国际超模大赛要开始了，凛子很想去参加，但是去纽约的报名费、机票钱、还有作品集的钱，她都凑不齐。她每天都在拼命打工，拍很多廉价的写真，但是还是差很多。</t>
  </si>
  <si>
    <t>你告诉她，你会拍照，你可以帮她拍作品集。你们利用周末的时间，去海边、去后山、去温泉街，拍了很多好看的照片，这些照片比她之前花大价钱拍的还要好。你还帮她攒钱，帮她凑够了去纽约的费用。</t>
  </si>
  <si>
    <t>在她出发去纽约的前一天，你们一起去泡温泉，她第一次在你面前卸下了防备，她红着脸对你说：“其实…… 我每次拍照片的时候，都在想，如果是你给我拍就好了。你能不能…… 做我的专属摄影师？永远都只给我一个人拍照。”</t>
  </si>
  <si>
    <t>凛子在国际大赛上拿到了冠军，成了国际超模。你成了她的专属摄影师，陪着她去全世界拍杂志，走秀。不管她去了哪里，她的摄影师永远都是你，她的照片里，永远都藏着对你的心意。</t>
  </si>
  <si>
    <t>TXT_Name_CHA_田中美代子</t>
  </si>
  <si>
    <t>TXT_Identify_CHA_田中美代子</t>
  </si>
  <si>
    <t>温柔善良的成熟女性，总是很照顾别人，会把家里收拾得干干净净，为了女儿一直很坚强，遇到你之后才慢慢找回了撒娇的权利，是能给你安心感的大姐姐。</t>
  </si>
  <si>
    <t>温柔人妻；手工职人</t>
  </si>
  <si>
    <t>其实很喜欢看恋爱小说，会偷偷躲着看，看到害羞的地方会脸红。</t>
  </si>
  <si>
    <t>她的家暴丈夫找上门来，想要把她和女儿带走，你需要帮她一起对抗丈夫，帮她找律师，帮她脱离苦海，最后她成功离婚，带着女儿和你一起在小镇开了一家手工店，开始了新的生活。</t>
  </si>
  <si>
    <t>你第一次去帮小姨送快递的时候，遇到了她，她穿着围裙，笑着给你开门，但是眼神里藏着疲惫。</t>
  </si>
  <si>
    <t>美代子和她的女儿小花住在小镇的边缘，她平时在家做一些手工活，赚点生活费。她总是很温柔，对你很好，会给你做她亲手做的饭团，但是你总是能看到她身上的淤青，还有她偷偷掉眼泪的样子。</t>
  </si>
  <si>
    <t>她的丈夫是个酒鬼，经常家暴她，她为了女儿，一直忍着，不敢离婚，因为她丈夫说，如果她敢离婚，就杀了她们母女。夏天的时候，她的丈夫喝醉了，找上门来，要把她们带走。</t>
  </si>
  <si>
    <t>你挡在了她们母女的面前，把那个男人赶了出去。然后你帮她找了律师，帮她申请了保护令，帮她打离婚官司。你告诉她，你会保护她们，永远都不会让那个男人再伤害她们。</t>
  </si>
  <si>
    <t>官司打赢的那天，美代子抱着你，哭了好久，她说她从来没有想到，会有人愿意保护她。她红着脸对你说：“遇到你之后，我才知道，原来被人保护是这种感觉。你能不能…… 给我一个机会，让我和小花，一起和你生活？”</t>
  </si>
  <si>
    <t>你们一起在小镇开了一家手工店，卖美代子做的手工制品，生意特别好。小花每天都喊你哥哥，你们三个人，组成了一个新的家庭，过着温暖又幸福的生活。</t>
  </si>
  <si>
    <t>TXT_Name_CHA_田中小花</t>
  </si>
  <si>
    <t>TXT_Identify_CHA_田中小花</t>
  </si>
  <si>
    <t>粘人乖巧的小女孩，因为之前的经历很没有安全感，但是特别依赖你，总是喊你 “哥哥”，你走到哪里就跟到哪里，会把自己最喜欢的糖都留给你。</t>
  </si>
  <si>
    <t>粘人义妹；小跟屁虫</t>
  </si>
  <si>
    <t>偷偷把你送她的小熊玩偶放在枕头边，说这样就像哥哥在陪着她一样。</t>
  </si>
  <si>
    <t>她一直害怕爸爸会把她带走，也害怕你会离开她，你需要陪着她，给她安全感，最后她长大之后，和你在一起，实现了永远和你在一起的梦想。</t>
  </si>
  <si>
    <t>你第一次去美代子家的时候，一个小女孩躲在妈妈的身后，偷偷看着你，然后小声喊了你一句 “哥哥”。</t>
  </si>
  <si>
    <t>小花今年 12 岁，因为之前的经历，她很没有安全感，很怕生，但是第一次见到你，就很喜欢你，总是粘着你，喊你哥哥。你走到哪里，她就跟到哪里，你去学校，她会在门口等你放学，你去打工，她会在旁边乖乖地等你。</t>
  </si>
  <si>
    <t>随着你和她妈妈的关系越来越好，小花开始害怕了，她害怕你会离开她，害怕她爸爸会把她带走，害怕她会再次变成一个人。有一次，她偷偷跑掉了，你找了她好久，最后在海边的悬崖上找到了她，她抱着你哭，说 “哥哥不要走，小花会很乖的。”</t>
  </si>
  <si>
    <t>你抱着她，告诉她，你永远都不会离开她，你会永远陪着她，保护她。从那以后，小花就越来越依赖你，她会把自己的小秘密都告诉你，会给你画她画的画，会偷偷亲你的脸颊。</t>
  </si>
  <si>
    <t>两年后，你要高中毕业的时候，小花已经 14 岁了，她拉着你的手，红着脸对你说：“哥哥，等我长大，我要嫁给你！这样我们就永远都不会分开了！”</t>
  </si>
  <si>
    <t>很多年以后，小花长大了，她考上了东京的大学，但是毕业之后，她还是回到了小镇，找到了你。她穿着婚纱，笑着对你说：“哥哥，你还记得我们的约定吗？现在，我终于可以和你永远在一起了。”</t>
  </si>
  <si>
    <t>TXT_Name_CHA_藤原静</t>
  </si>
  <si>
    <t>TXT_Identify_CHA_藤原静</t>
  </si>
  <si>
    <t>知性可靠的学姐，总是很照顾你，在你遇到困难的时候会给你指导，像大姐姐一样可靠，但是在喜欢的人面前会露出可爱的一面，喝醉了会撒娇。</t>
  </si>
  <si>
    <t>知性学姐；设计达人</t>
  </si>
  <si>
    <t>其实很怕高，之前去爬山的时候差点吓哭，只是一直不好意思说。</t>
  </si>
  <si>
    <t>她一直想要开自己的设计公司，但是没有启动资金，也没有客户，你需要帮她一起做项目，拉客户，攒钱，最后你们一起开了一家设计公司，成为了小镇有名的设计师。</t>
  </si>
  <si>
    <t>你刚加入美术部的时候，一个温柔的学姐笑着接待了你，她帮你拿画具，告诉你美术部的规矩，就像大姐姐一样。</t>
  </si>
  <si>
    <t>静学姐是三年级的学姐，特别能干，学习好，画画也好，把美术部打理得井井有条。她总是很照顾你，在你遇到困难的时候，都会给你指导，就像大姐姐一样。你有什么心事，都愿意和她说。</t>
  </si>
  <si>
    <t>静学姐马上就要毕业了，她的梦想是开一家自己的设计公司，但是她没有启动资金，也没有客户。她投了很多简历，但是都没有回音，她有点灰心，觉得自己的梦想是不是太遥远了。</t>
  </si>
  <si>
    <t>你告诉她，你可以帮她。你们一起接了很多小的设计项目，你帮她跑客户，帮她做宣传，慢慢的，越来越多的人知道了她们的设计公司。你们一起攒钱，终于凑够了开公司的启动资金。</t>
  </si>
  <si>
    <t>在公司开业的前一天，静学姐喝醉了，她靠在你的肩膀上，红着脸对你说：“其实…… 我一直把你当成弟弟，但是慢慢的，我发现，我好像喜欢你。你能不能…… 不要叫我学姐了，叫我静？”</t>
  </si>
  <si>
    <t>你们的设计公司越做越大，成了小镇有名的设计公司，很多东京的公司都来找他们做设计。静学姐成了设计总监，你成了公司的经理，你们一起经营着公司，过着成熟又甜蜜的生活。</t>
  </si>
  <si>
    <t>TXT_Name_CHA_影山菖蒲</t>
  </si>
  <si>
    <t>TXT_Identify_CHA_影山菖蒲</t>
  </si>
  <si>
    <t>沉默寡言的忍者少女，平时很少说话，总是面无表情，但是其实外冷内热，特别护短，被小镇的生活感染之后，慢慢想要过普通的高中生活。</t>
  </si>
  <si>
    <t>沉默忍者；外冷内热</t>
  </si>
  <si>
    <t>其实很喜欢吃奈奈的铜锣烧，第一次吃的时候偷偷吃了三个，还不好意思付钱。</t>
  </si>
  <si>
    <t>她的家族逼她必须把大小姐带回去，不然就要惩罚她，你需要帮她一起对抗家族，最后她成功脱离了黑帮，和你一起在小镇过普通的生活。</t>
  </si>
  <si>
    <t>你第一次见到她的时候，她突然从你家的屋顶跳了下来，手里拿着刀，冷冷地对你说 “把大小姐交出来，不然我就不客气了。”</t>
  </si>
  <si>
    <t>菖蒲是西园寺家的忍者，从小就被训练成大小姐的护卫，她的任务就是把雪带回东京。她一开始想要强行把雪带走，但是被你阻止了。她没有办法，只好留在小镇，潜伏在你身边，想要找机会带走雪。</t>
  </si>
  <si>
    <t>她沉默寡言，不怎么说话，但是慢慢的，她被小镇的生活感染了，她第一次吃到了奈奈的甜品，第一次参加了夏日祭，第一次感受到了家的温暖。但是她的家族给她下了最后通牒，如果她在一个月内不能把雪带回去，就会被家族处死。</t>
  </si>
  <si>
    <t>你知道了她的事情，决定帮她。你和雪一起，帮她对抗家族的追兵，你告诉她，她不是一个工具，她有权利选择自己的生活。你帮她脱离了家族，让她可以过上普通的生活。</t>
  </si>
  <si>
    <t>那天晚上，菖蒲第一次对你笑了，她红着脸对你说：“以前我觉得，我的人生就是完成任务，但是遇到你之后，我才知道，原来普通的生活这么美好。你能不能…… 让我留在你身边，做你的女朋友？”</t>
  </si>
  <si>
    <t>菖蒲留在了小镇，她成了小镇的巡警，负责小镇的治安，她的身手刚好派上用场。你们一起过着普通的生活，她会给你做忍者的特色料理，会保护你，你们一起守护着这个小镇。</t>
  </si>
  <si>
    <t>TXT_Name_CHA_宫本晴子</t>
  </si>
  <si>
    <t>TXT_Identify_CHA_宫本晴子</t>
  </si>
  <si>
    <t>成熟可靠的老板娘，一个人撑起了整个旅店，把你照顾得无微不至，总是把你当成小孩子，但是内心其实也渴望着爱情，遇到你之后慢慢动了心。</t>
  </si>
  <si>
    <t>温柔老板娘；小姨大人</t>
  </si>
  <si>
    <t>其实很喜欢喝酒，晚上打扫完温泉之后会偷偷喝一点果酒，喝醉了会跟你说小时候的趣事。</t>
  </si>
  <si>
    <t>她一直把你当成小孩子，但是慢慢的发现自己对你的感情，你需要帮她一起经营旅店，最后你们一起把旅店做成了全国有名的温泉旅店，两个人一起经营着小店，过着幸福的生活。</t>
  </si>
  <si>
    <t>你刚到小镇的时候，她在车站接你，笑着帮你拎行李，把你照顾得无微不至。</t>
  </si>
  <si>
    <t>晴子小姨是个很能干的女人，一个人撑起了整个汤之花庄，把你照顾得无微不至。她总是把你当成小孩子，给你做早餐，帮你洗衣服，在你生病的时候照顾你。小镇的人都很喜欢她，很多人都追求她，但是她都拒绝了。</t>
  </si>
  <si>
    <t>冬天的时候，温泉季到了，但是小镇来了一家新的连锁温泉酒店，抢走了汤之花庄的很多客人。旅店的生意越来越差，快撑不下去了。晴子小姨每天都很辛苦，到处想办法，但是都没有用。</t>
  </si>
  <si>
    <t>你决定帮她，你们一起改造了旅店，增加了很多新的项目，比如温泉瑜伽、海鲜料理、手工体验，你帮她做了宣传，把旅店的照片发到了网上，没想到一下子就火了，很多游客都专门来汤之花庄泡温泉。</t>
  </si>
  <si>
    <t>在一个深夜，你们一起打扫完温泉，坐在院子里喝酒，晴子小姨红着脸对你说：“其实…… 我一直把你当成小孩子，但是慢慢的，我发现，我好像喜欢你。我知道我是你小姨，这不对，但是我控制不住我自己。”</t>
  </si>
  <si>
    <t>汤之花庄成了全国有名的温泉旅店，很多人都专门来这里度假。你们一起经营着旅店，过着幸福的生活。每天早上，你们一起准备早餐，晚上一起泡温泉，就像普通的夫妻一样，虽然你们的关系不被世俗认可，但是你们不在乎，因为你们爱着彼此。</t>
  </si>
  <si>
    <t>TXT_Name_CHA_神代雪音</t>
  </si>
  <si>
    <t>TXT_Identify_CHA_神代雪音</t>
  </si>
  <si>
    <t>懵懂温柔的失忆少女，对什么都好奇，像一张白纸一样，非常依赖你，只有你能照顾她，找回记忆之后，变成了温柔又坚定的温泉守护者。</t>
  </si>
  <si>
    <t>温泉精灵；前世恋人</t>
  </si>
  <si>
    <t>五十年前就和你定下了约定，一直等着你回来，等了整整五十年。</t>
  </si>
  <si>
    <t>你需要慢慢帮她找回记忆，发现她其实是小镇温泉的精灵，五十年前就和你有过约定，最后她找回了记忆，和你一起守护小镇，永远在一起。</t>
  </si>
  <si>
    <t>在满月之夜，去后山的秘汤泡温泉，就能遇到她。</t>
  </si>
  <si>
    <t>你在满月之夜，偷偷跑到了后山的秘汤，遇到了一个穿着白色和服的少女，她失去了记忆，什么都不记得，只记得你的名字。她很懵懂，对什么都好奇，像一张白纸一样，只能依赖你。</t>
  </si>
  <si>
    <t>你把她带回了旅店，偷偷照顾她，你带着她逛小镇，给她讲小镇的故事，帮她找回记忆。慢慢的，她想起了一些事情，她是小镇的温泉精灵，已经活了几百年了，守护着小镇的温泉。</t>
  </si>
  <si>
    <t>在一个满月的夜晚，她终于找回了所有的记忆。原来，五十年前，你曾经来过这个小镇，那时候你是一个来自东京的少年，和她相遇了，你们约定，五十年后，你会回来找她，和她永远在一起。然后你转世了，忘记了所有的事情，但是她一直等着你，等了五十年。</t>
  </si>
  <si>
    <t>她抱着你，哭着对你说：“我等了你五十年，终于等到你了。你还记得我们的约定吗？你说过，你会永远陪着我，一起守护这个小镇。”</t>
  </si>
  <si>
    <t>你留在了小镇，和雪音一起，守护着小镇的温泉。你们一起过着神仙眷侣一样的生活，她永远不会变老，你也会陪着她，直到永远。</t>
  </si>
  <si>
    <t>TXT_Name_CHA_蕾娜・莉希特娜瓦</t>
  </si>
  <si>
    <t>TXT_Identify_CHA_蕾娜・莉希特娜瓦</t>
  </si>
  <si>
    <t>古灵精怪的调皮少女，最喜欢作弄人，所以才伪装成老婆婆逗客人，非常聪明，很会做生意，但是内心其实有点孤独，遇到你之后才慢慢打开了心扉。</t>
  </si>
  <si>
    <t>伪装老婆婆；环球冒险家</t>
  </si>
  <si>
    <t>偷偷收集了全世界的奇怪小玩意，比如会说话的石头，还有能带来好运的鱼骨，都藏在杂货店的地下室里。</t>
  </si>
  <si>
    <t>她是德日混血，家里是很有钱的商人，但是家里不让她到处乱跑，想要她继承家里的生意，所以她偷偷跑出来，伪装成老婆婆，在小镇开了这家杂货店，一边收集奇怪的东西，一边作弄人。后来她的家里找到了她，要把她带回去，你需要帮她对抗家里的安排，帮她证明她可以自己环游世界，最后她成功说服了家里，和你一起，开着移动的杂货店，环游世界，到处收集奇怪的小玩意，过着自由的生活。</t>
  </si>
  <si>
    <t>在杂货店帮 “老婆婆” 搬货超过 10 次，就能触发她的真实身份剧情。</t>
  </si>
  <si>
    <t>你一开始以为杂货店的老板娘是个 70 岁的老婆婆，她很古灵精怪，总是作弄客人，比如把便宜的东西卖得很贵，或者给客人讲奇怪的故事。你经常去她的店里帮忙搬货，觉得这个老婆婆身手怎么这么好，一点都不像老人。有一次，你不小心撞破了她的伪装，发现她其实是个 17 岁的德日混血少女，她因为家里不让她到处乱跑，所以偷偷跑了出来，伪装成老婆婆，在小镇开了这家杂货店，一边收集全世界的奇怪小玩意，一边作弄客人。</t>
  </si>
  <si>
    <t>她的家里找到了她，要把她带回德国，继承家里的商业帝国。但是蕾娜不想回去，她想要环游世界，收集全世界的奇怪小玩意，开一家移动的杂货店。</t>
  </si>
  <si>
    <t>你帮她说服了她的家里，你告诉他们，你会陪着她，一起环游世界，保护她。她的家里终于同意了。</t>
  </si>
  <si>
    <t>蕾娜红着脸对你说：“我以前一个人到处跑，觉得很孤独，但是遇到你之后，我觉得，有你陪着我，环游世界才会有意思。你能不能…… 和我一起，开着我们的移动杂货店，去环游世界？”</t>
  </si>
  <si>
    <t>你们一起开着一辆改装的房车，开始了环游世界的旅程。你们去了欧洲，去了非洲，去了南美洲，收集了全世界各种各样的奇怪小玩意，每到一个地方，就开着你们的杂货店，把这些小玩意卖给当地人，过着自由又浪漫的生活。</t>
  </si>
  <si>
    <t>CHA_小偷</t>
  </si>
  <si>
    <t>TXT_Name_CHA_小偷</t>
  </si>
  <si>
    <t>TXT_Identify_CHA_小偷</t>
  </si>
  <si>
    <t>CHA_警察</t>
  </si>
  <si>
    <t>TXT_Name_CHA_警察</t>
  </si>
  <si>
    <t>TXT_Identify_CHA_警察</t>
  </si>
  <si>
    <t>【姓名】</t>
  </si>
  <si>
    <t>主角</t>
  </si>
  <si>
    <t>Protagonist</t>
  </si>
  <si>
    <t>主人公</t>
  </si>
  <si>
    <t>宫本奈奈</t>
  </si>
  <si>
    <t>Nana Miyamoto</t>
  </si>
  <si>
    <t>宮本奈々</t>
  </si>
  <si>
    <t>佐藤阳菜</t>
  </si>
  <si>
    <t>Hina Sato</t>
  </si>
  <si>
    <t>佐藤陽菜</t>
  </si>
  <si>
    <t>铃木凛</t>
  </si>
  <si>
    <t>Rin Suzuki</t>
  </si>
  <si>
    <t>鈴木凛</t>
  </si>
  <si>
    <t>铃木葵</t>
  </si>
  <si>
    <t>Aoi Suzuki</t>
  </si>
  <si>
    <t>鈴木葵</t>
  </si>
  <si>
    <t>西园寺雪</t>
  </si>
  <si>
    <t>Yuki Saionji</t>
  </si>
  <si>
    <t>西園寺雪</t>
  </si>
  <si>
    <t>白鸟凛子</t>
  </si>
  <si>
    <t>Rinko Shirotori</t>
  </si>
  <si>
    <t>白鳥凛子</t>
  </si>
  <si>
    <t>田中美代子</t>
  </si>
  <si>
    <t>Miyoko Tanaka</t>
  </si>
  <si>
    <t>田中小花</t>
  </si>
  <si>
    <t>Hana Tanaka</t>
  </si>
  <si>
    <t>藤原静</t>
  </si>
  <si>
    <t>Shizuka Fujiwara</t>
  </si>
  <si>
    <t>影山菖蒲</t>
  </si>
  <si>
    <t>Ayame Kageyama</t>
  </si>
  <si>
    <t>宫本晴子</t>
  </si>
  <si>
    <t>Haruko Miyamoto</t>
  </si>
  <si>
    <t>宮本晴子</t>
  </si>
  <si>
    <t>神代雪音</t>
  </si>
  <si>
    <t>Yukine Kamishiro</t>
  </si>
  <si>
    <t>蕾娜・莉希特娜瓦</t>
  </si>
  <si>
    <t>Lena Lichtnauer</t>
  </si>
  <si>
    <t>レーナ・リヒトナウアー</t>
  </si>
  <si>
    <t>小偷</t>
  </si>
  <si>
    <t>Thief</t>
  </si>
  <si>
    <t>泥棒</t>
  </si>
  <si>
    <t>警察</t>
  </si>
  <si>
    <t>Police</t>
  </si>
  <si>
    <t>【身份/简介】</t>
  </si>
  <si>
    <t>1v13传奇男子高中生</t>
  </si>
  <si>
    <t>Legendary Male High School Student of 1v13</t>
  </si>
  <si>
    <t>1v13の伝説的男子高校生</t>
  </si>
  <si>
    <t>小镇甜品店「奈奈的小铺」店主，你的青梅竹马</t>
  </si>
  <si>
    <t>Owner of the small town dessert shop "Nana's Shop", your childhood sweetheart</t>
  </si>
  <si>
    <t>町のスイーツ店「奈々の小さな店」の店主、あなたの幼なじみ</t>
  </si>
  <si>
    <t>汤之里高中音乐部社员，奈奈的闺蜜</t>
  </si>
  <si>
    <t>Member of the Music Club of Yunosato High School, Nana's best friend</t>
  </si>
  <si>
    <t>湯の里高校音楽部部員、奈々の親友</t>
  </si>
  <si>
    <t>铃木家渔户的长女，你的同班同学，双胞胎姐姐</t>
  </si>
  <si>
    <t>Eldest daughter of the Suzuki family's fishery, your classmate, twin elder sister</t>
  </si>
  <si>
    <t>鈴木家漁師の長女、あなたのクラスメイト、双子の姉</t>
  </si>
  <si>
    <t>铃木家渔户的小女，你的同班同学，双胞胎妹妹</t>
  </si>
  <si>
    <t>Youngest daughter of the Suzuki family's fishery, your classmate, twin younger sister</t>
  </si>
  <si>
    <t>鈴木家漁師の末娘、あなたのクラスメイト、双子の妹</t>
  </si>
  <si>
    <t>离家出走的富家大小姐，汤之花庄的临时住客</t>
  </si>
  <si>
    <t>Runaway wealthy young lady, temporary resident of Yunohanasou</t>
  </si>
  <si>
    <t>家出したお嬢様、湯の花荘の臨時住人</t>
  </si>
  <si>
    <t>汤之里高中的校花，兼职东京平面模特</t>
  </si>
  <si>
    <t>School belle of Yunosato High School, part-time Tokyo print model</t>
  </si>
  <si>
    <t>湯の里高校の校花、東京のグラビアモデルをアルバイトしている</t>
  </si>
  <si>
    <t>住在小镇边缘的人妻，手工制作者</t>
  </si>
  <si>
    <t>Housewife living on the edge of the town, handicraft maker</t>
  </si>
  <si>
    <t>町のはずれに住む人妻、手芸作家</t>
  </si>
  <si>
    <t>美代子的女儿，你认的义妹</t>
  </si>
  <si>
    <t>Miyoko's daughter, your sworn younger sister</t>
  </si>
  <si>
    <t>美代子の娘、あなたが義妹にした女の子</t>
  </si>
  <si>
    <t>汤之里高中三年级学姐，美术部部长</t>
  </si>
  <si>
    <t>Third-year senior of Yunosato High School, President of the Art Club</t>
  </si>
  <si>
    <t>湯の里高校3年生の先輩、美術部部長</t>
  </si>
  <si>
    <t>西园寺家的忍者，大小姐的护卫</t>
  </si>
  <si>
    <t>Ninja of the Saionji family, bodyguard of the young lady</t>
  </si>
  <si>
    <t>西園寺家の忍者、お嬢様の護衛</t>
  </si>
  <si>
    <t>温泉旅店「汤之花庄」的老板，你的小姨</t>
  </si>
  <si>
    <t>Owner of the hot spring inn "Yunohanasou", your aunt</t>
  </si>
  <si>
    <t>温泉旅館「湯の花荘」の女将、あなたの叔母さん</t>
  </si>
  <si>
    <t>小镇的温泉精灵</t>
  </si>
  <si>
    <t>Hot Spring Spirit of the Town</t>
  </si>
  <si>
    <t>町の温泉の精霊</t>
  </si>
  <si>
    <t>小镇杂货店的隐藏老板娘，德日混血</t>
  </si>
  <si>
    <t>Hidden landlady of the town's grocery store, German-Japanese mixed blood</t>
  </si>
  <si>
    <t>町の雑貨店の隠れた女将、ドイツと日本のハーフ</t>
  </si>
  <si>
    <t>图片分类</t>
  </si>
  <si>
    <t>图片命名（自动生成用于复制）</t>
  </si>
  <si>
    <t>所属文件夹</t>
  </si>
  <si>
    <t>文件路径</t>
  </si>
  <si>
    <t>图片</t>
  </si>
  <si>
    <t>CHA_1010101</t>
  </si>
  <si>
    <t>人物立绘</t>
  </si>
  <si>
    <t>日漫，宫本奈奈，站立，微笑，常服</t>
  </si>
  <si>
    <t>T_CHA_1010101</t>
  </si>
  <si>
    <t>Character/Dialogue/</t>
  </si>
  <si>
    <t>/Script/Engine.Texture2D'/Game/GameContent/Asset/Image/Character/Dialogue/</t>
  </si>
  <si>
    <t>/Script/Engine.Texture2D'/Game/GameContent/Asset/Image/Character/Dialogue/T_CHA_1010101.T_CHA_1010101'</t>
  </si>
  <si>
    <t>SCE_City_Night</t>
  </si>
  <si>
    <t>城市，晚上</t>
  </si>
  <si>
    <t>T_SCE_City_Night</t>
  </si>
  <si>
    <t>Map/</t>
  </si>
  <si>
    <t>/Script/Engine.Texture2D'/Game/GameContent/Asset/Image/Map/</t>
  </si>
  <si>
    <t>/Script/Engine.Texture2D'/Game/GameContent/Asset/Image/Map/T_SCE_City_Night.T_SCE_City_Night'</t>
  </si>
  <si>
    <t>SCE_Home_Bathroom_Day</t>
  </si>
  <si>
    <t>家中厕所，白天</t>
  </si>
  <si>
    <t>T_SCE_Home_Bathroom_Day</t>
  </si>
  <si>
    <t>/Script/Engine.Texture2D'/Game/GameContent/Asset/Image/Map/T_SCE_Home_Bathroom_Day.T_SCE_Home_Bathroom_Day'</t>
  </si>
  <si>
    <t>DIABG_CheZhanZhanTai</t>
  </si>
  <si>
    <t>对话背景</t>
  </si>
  <si>
    <t>车站站台</t>
  </si>
  <si>
    <t>T_DIABG_CheZhanZhanTai</t>
  </si>
  <si>
    <t>Background/</t>
  </si>
  <si>
    <t>/Script/Engine.Texture2D'/Game/GameContent/Asset/Image/Background/</t>
  </si>
  <si>
    <t>/Script/Engine.Texture2D'/Game/GameContent/Asset/Image/Background/T_DIABG_CheZhanZhanTai.T_DIABG_CheZhanZhanTai'</t>
  </si>
  <si>
    <t>SCE_Home_001</t>
  </si>
  <si>
    <t>测试用图片</t>
  </si>
  <si>
    <t>T_SCE_Home_001</t>
  </si>
  <si>
    <t>/Script/Engine.Texture2D'/Game/GameContent/Asset/Image/Map/T_SCE_Home_001.T_SCE_Home_001'</t>
  </si>
  <si>
    <t>SCE_Home_002</t>
  </si>
  <si>
    <t>T_SCE_Home_002</t>
  </si>
  <si>
    <t>/Script/Engine.Texture2D'/Game/GameContent/Asset/Image/Map/T_SCE_Home_002.T_SCE_Home_002'</t>
  </si>
  <si>
    <t>SCE_Home_003</t>
  </si>
  <si>
    <t>T_SCE_Home_003</t>
  </si>
  <si>
    <t>/Script/Engine.Texture2D'/Game/GameContent/Asset/Image/Map/T_SCE_Home_003.T_SCE_Home_003'</t>
  </si>
  <si>
    <t>SCE_Home_004</t>
  </si>
  <si>
    <t>T_SCE_Home_004</t>
  </si>
  <si>
    <t>/Script/Engine.Texture2D'/Game/GameContent/Asset/Image/Map/T_SCE_Home_004.T_SCE_Home_004'</t>
  </si>
  <si>
    <t>SCE_Home_005</t>
  </si>
  <si>
    <t>T_SCE_Home_005</t>
  </si>
  <si>
    <t>/Script/Engine.Texture2D'/Game/GameContent/Asset/Image/Map/T_SCE_Home_005.T_SCE_Home_005'</t>
  </si>
  <si>
    <t>SCE_Home_006</t>
  </si>
  <si>
    <t>T_SCE_Home_006</t>
  </si>
  <si>
    <t>/Script/Engine.Texture2D'/Game/GameContent/Asset/Image/Map/T_SCE_Home_006.T_SCE_Home_006'</t>
  </si>
  <si>
    <t>SCE_Home_007</t>
  </si>
  <si>
    <t>T_SCE_Home_007</t>
  </si>
  <si>
    <t>/Script/Engine.Texture2D'/Game/GameContent/Asset/Image/Map/T_SCE_Home_007.T_SCE_Home_007'</t>
  </si>
  <si>
    <t>SCE_Home_008</t>
  </si>
  <si>
    <t>T_SCE_Home_008</t>
  </si>
  <si>
    <t>/Script/Engine.Texture2D'/Game/GameContent/Asset/Image/Map/T_SCE_Home_008.T_SCE_Home_008'</t>
  </si>
  <si>
    <t>SCE_Home_009</t>
  </si>
  <si>
    <t>T_SCE_Home_009</t>
  </si>
  <si>
    <t>/Script/Engine.Texture2D'/Game/GameContent/Asset/Image/Map/T_SCE_Home_009.T_SCE_Home_009'</t>
  </si>
  <si>
    <t>图标</t>
  </si>
  <si>
    <t>箭头图标</t>
  </si>
  <si>
    <t>T_Icon_Arrow</t>
  </si>
  <si>
    <t>Icon/</t>
  </si>
  <si>
    <t>/Script/Engine.Texture2D'/Game/GameContent/Asset/Image/Icon/</t>
  </si>
  <si>
    <t>/Script/Engine.Texture2D'/Game/GameContent/Asset/Image/Icon/T_Icon_Arrow.T_Icon_Arrow'</t>
  </si>
  <si>
    <t>T_Icon_Heart</t>
  </si>
  <si>
    <t>/Script/Engine.Texture2D'/Game/GameContent/Asset/Image/Icon/T_Icon_Heart.T_Icon_Heart'</t>
  </si>
  <si>
    <t>Dia_010101</t>
  </si>
  <si>
    <t>T_Dia_010101</t>
  </si>
  <si>
    <t>/Script/Engine.Texture2D'/Game/GameContent/Asset/Image/Character/Dialogue/T_Dia_010101.T_Dia_010101'</t>
  </si>
  <si>
    <t>Dia_020101</t>
  </si>
  <si>
    <t>T_Dia_020101</t>
  </si>
  <si>
    <t>/Script/Engine.Texture2D'/Game/GameContent/Asset/Image/Character/Dialogue/T_Dia_020101.T_Dia_020101'</t>
  </si>
  <si>
    <t>Dia_030101</t>
  </si>
  <si>
    <t>T_Dia_030101</t>
  </si>
  <si>
    <t>/Script/Engine.Texture2D'/Game/GameContent/Asset/Image/Character/Dialogue/T_Dia_030101.T_Dia_030101'</t>
  </si>
  <si>
    <t>Dia_040101</t>
  </si>
  <si>
    <t>T_Dia_040101</t>
  </si>
  <si>
    <t>/Script/Engine.Texture2D'/Game/GameContent/Asset/Image/Character/Dialogue/T_Dia_040101.T_Dia_040101'</t>
  </si>
  <si>
    <t>Dia_050101</t>
  </si>
  <si>
    <t>T_Dia_050101</t>
  </si>
  <si>
    <t>/Script/Engine.Texture2D'/Game/GameContent/Asset/Image/Character/Dialogue/T_Dia_050101.T_Dia_050101'</t>
  </si>
  <si>
    <t>Dia_060101</t>
  </si>
  <si>
    <t>T_Dia_060101</t>
  </si>
  <si>
    <t>/Script/Engine.Texture2D'/Game/GameContent/Asset/Image/Character/Dialogue/T_Dia_060101.T_Dia_060101'</t>
  </si>
  <si>
    <t>Dia_070101</t>
  </si>
  <si>
    <t>T_Dia_070101</t>
  </si>
  <si>
    <t>/Script/Engine.Texture2D'/Game/GameContent/Asset/Image/Character/Dialogue/T_Dia_070101.T_Dia_070101'</t>
  </si>
  <si>
    <t>Dia_080101</t>
  </si>
  <si>
    <t>T_Dia_080101</t>
  </si>
  <si>
    <t>/Script/Engine.Texture2D'/Game/GameContent/Asset/Image/Character/Dialogue/T_Dia_080101.T_Dia_080101'</t>
  </si>
  <si>
    <t>Dia_090101</t>
  </si>
  <si>
    <t>T_Dia_090101</t>
  </si>
  <si>
    <t>/Script/Engine.Texture2D'/Game/GameContent/Asset/Image/Character/Dialogue/T_Dia_090101.T_Dia_090101'</t>
  </si>
  <si>
    <t>Dia_100101</t>
  </si>
  <si>
    <t>T_Dia_100101</t>
  </si>
  <si>
    <t>/Script/Engine.Texture2D'/Game/GameContent/Asset/Image/Character/Dialogue/T_Dia_100101.T_Dia_100101'</t>
  </si>
  <si>
    <t>Dia_110101</t>
  </si>
  <si>
    <t>T_Dia_110101</t>
  </si>
  <si>
    <t>/Script/Engine.Texture2D'/Game/GameContent/Asset/Image/Character/Dialogue/T_Dia_110101.T_Dia_110101'</t>
  </si>
  <si>
    <t>Dia_120101</t>
  </si>
  <si>
    <t>T_Dia_120101</t>
  </si>
  <si>
    <t>/Script/Engine.Texture2D'/Game/GameContent/Asset/Image/Character/Dialogue/T_Dia_120101.T_Dia_120101'</t>
  </si>
  <si>
    <t>Dia_130101</t>
  </si>
  <si>
    <t>T_Dia_130101</t>
  </si>
  <si>
    <t>/Script/Engine.Texture2D'/Game/GameContent/Asset/Image/Character/Dialogue/T_Dia_130101.T_Dia_130101'</t>
  </si>
  <si>
    <t>Dia_135101</t>
  </si>
  <si>
    <t>T_Dia_135101</t>
  </si>
  <si>
    <t>/Script/Engine.Texture2D'/Game/GameContent/Asset/Image/Character/Dialogue/T_Dia_135101.T_Dia_135101'</t>
  </si>
  <si>
    <t>Head_010</t>
  </si>
  <si>
    <t>人物头像</t>
  </si>
  <si>
    <t>T_Head_010</t>
  </si>
  <si>
    <t>Character/Head/</t>
  </si>
  <si>
    <t>/Script/Engine.Texture2D'/Game/GameContent/Asset/Image/Character/Head/</t>
  </si>
  <si>
    <t>/Script/Engine.Texture2D'/Game/GameContent/Asset/Image/Character/Head/T_Head_010.T_Head_010'</t>
  </si>
  <si>
    <t>Head_020</t>
  </si>
  <si>
    <t>T_Head_020</t>
  </si>
  <si>
    <t>/Script/Engine.Texture2D'/Game/GameContent/Asset/Image/Character/Head/T_Head_020.T_Head_020'</t>
  </si>
  <si>
    <t>Head_030</t>
  </si>
  <si>
    <t>T_Head_030</t>
  </si>
  <si>
    <t>/Script/Engine.Texture2D'/Game/GameContent/Asset/Image/Character/Head/T_Head_030.T_Head_030'</t>
  </si>
  <si>
    <t>Head_040</t>
  </si>
  <si>
    <t>T_Head_040</t>
  </si>
  <si>
    <t>/Script/Engine.Texture2D'/Game/GameContent/Asset/Image/Character/Head/T_Head_040.T_Head_040'</t>
  </si>
  <si>
    <t>Head_050</t>
  </si>
  <si>
    <t>T_Head_050</t>
  </si>
  <si>
    <t>/Script/Engine.Texture2D'/Game/GameContent/Asset/Image/Character/Head/T_Head_050.T_Head_050'</t>
  </si>
  <si>
    <t>Head_060</t>
  </si>
  <si>
    <t>T_Head_060</t>
  </si>
  <si>
    <t>/Script/Engine.Texture2D'/Game/GameContent/Asset/Image/Character/Head/T_Head_060.T_Head_060'</t>
  </si>
  <si>
    <t>Head_070</t>
  </si>
  <si>
    <t>T_Head_070</t>
  </si>
  <si>
    <t>/Script/Engine.Texture2D'/Game/GameContent/Asset/Image/Character/Head/T_Head_070.T_Head_070'</t>
  </si>
  <si>
    <t>Head_080</t>
  </si>
  <si>
    <t>T_Head_080</t>
  </si>
  <si>
    <t>/Script/Engine.Texture2D'/Game/GameContent/Asset/Image/Character/Head/T_Head_080.T_Head_080'</t>
  </si>
  <si>
    <t>Head_090</t>
  </si>
  <si>
    <t>T_Head_090</t>
  </si>
  <si>
    <t>/Script/Engine.Texture2D'/Game/GameContent/Asset/Image/Character/Head/T_Head_090.T_Head_090'</t>
  </si>
  <si>
    <t>Head_100</t>
  </si>
  <si>
    <t>T_Head_100</t>
  </si>
  <si>
    <t>/Script/Engine.Texture2D'/Game/GameContent/Asset/Image/Character/Head/T_Head_100.T_Head_100'</t>
  </si>
  <si>
    <t>Head_110</t>
  </si>
  <si>
    <t>T_Head_110</t>
  </si>
  <si>
    <t>/Script/Engine.Texture2D'/Game/GameContent/Asset/Image/Character/Head/T_Head_110.T_Head_110'</t>
  </si>
  <si>
    <t>Head_120</t>
  </si>
  <si>
    <t>T_Head_120</t>
  </si>
  <si>
    <t>/Script/Engine.Texture2D'/Game/GameContent/Asset/Image/Character/Head/T_Head_120.T_Head_120'</t>
  </si>
  <si>
    <t>Head_130</t>
  </si>
  <si>
    <t>T_Head_130</t>
  </si>
  <si>
    <t>/Script/Engine.Texture2D'/Game/GameContent/Asset/Image/Character/Head/T_Head_130.T_Head_130'</t>
  </si>
  <si>
    <t>Head_135</t>
  </si>
  <si>
    <t>T_Head_135</t>
  </si>
  <si>
    <t>/Script/Engine.Texture2D'/Game/GameContent/Asset/Image/Character/Head/T_Head_135.T_Head_135'</t>
  </si>
  <si>
    <t>Dia_050104</t>
  </si>
  <si>
    <t>T_Dia_050104</t>
  </si>
  <si>
    <t>/Script/Engine.Texture2D'/Game/GameContent/Asset/Image/Character/Dialogue/T_Dia_050104.T_Dia_050104'</t>
  </si>
  <si>
    <t>Dia_050105</t>
  </si>
  <si>
    <t>T_Dia_050105</t>
  </si>
  <si>
    <t>/Script/Engine.Texture2D'/Game/GameContent/Asset/Image/Character/Dialogue/T_Dia_050105.T_Dia_050105'</t>
  </si>
  <si>
    <t>Dia_100102</t>
  </si>
  <si>
    <t>T_Dia_100102</t>
  </si>
  <si>
    <t>/Script/Engine.Texture2D'/Game/GameContent/Asset/Image/Character/Dialogue/T_Dia_100102.T_Dia_100102'</t>
  </si>
  <si>
    <t>Dia_100105</t>
  </si>
  <si>
    <t>T_Dia_100105</t>
  </si>
  <si>
    <t>/Script/Engine.Texture2D'/Game/GameContent/Asset/Image/Character/Dialogue/T_Dia_100105.T_Dia_100105'</t>
  </si>
  <si>
    <t>T_</t>
  </si>
  <si>
    <t>/Script/Engine.Texture2D'/Game/GameContent/Asset/Image/</t>
  </si>
  <si>
    <t>/Script/Engine.Texture2D'/Game/GameContent/Asset/Image/T_.T_'</t>
  </si>
  <si>
    <t>/Script/Engine.Texture2D'/Game/GameContent/Asset/Image/.'</t>
  </si>
  <si>
    <t>所属角色</t>
  </si>
  <si>
    <t>文件名</t>
  </si>
  <si>
    <t>文件媒体源</t>
  </si>
  <si>
    <t>CG_Test_01</t>
  </si>
  <si>
    <t>测试CG1</t>
  </si>
  <si>
    <t>FMS_Test_01</t>
  </si>
  <si>
    <t>/Game/Movies/</t>
  </si>
  <si>
    <t>/Game/Movies/FMS_Test_01.FMS_Test_01</t>
  </si>
  <si>
    <t>CG_Test_02</t>
  </si>
  <si>
    <t>测试CG2</t>
  </si>
  <si>
    <t>FMS_Test_02</t>
  </si>
  <si>
    <t>/Game/Movies/FMS_Test_02.FMS_Test_02</t>
  </si>
  <si>
    <t>/Game/Movies/.</t>
  </si>
  <si>
    <t>物品名称</t>
  </si>
  <si>
    <t>物品类型</t>
  </si>
  <si>
    <t>物品图标</t>
  </si>
  <si>
    <t>物品价格</t>
  </si>
  <si>
    <t>使用效果（换行间隔）</t>
  </si>
  <si>
    <t>物品描述</t>
  </si>
  <si>
    <t>使用效果</t>
  </si>
  <si>
    <t>【货币】</t>
  </si>
  <si>
    <t>Item_Coin</t>
  </si>
  <si>
    <t>钱</t>
  </si>
  <si>
    <t>TXT_ItemType_货币</t>
  </si>
  <si>
    <t>【背包物品】</t>
  </si>
  <si>
    <t>Item_Test_01</t>
  </si>
  <si>
    <t>1元钢镚</t>
  </si>
  <si>
    <t>TXT_ItemType_道具</t>
  </si>
  <si>
    <t>背包# Item_Coin+1</t>
  </si>
  <si>
    <t>("背包# Item_Coin+1")</t>
  </si>
  <si>
    <t>Item_Test_02</t>
  </si>
  <si>
    <t>10元纸币</t>
  </si>
  <si>
    <t>背包# Item_Coin+10</t>
  </si>
  <si>
    <t>("背包# Item_Coin+10")</t>
  </si>
  <si>
    <t>Item_Test_03</t>
  </si>
  <si>
    <t>100元纸币</t>
  </si>
  <si>
    <t>("背包# Item_Coin+100")</t>
  </si>
  <si>
    <t>Item_Test_04</t>
  </si>
  <si>
    <t>一千元红包</t>
  </si>
  <si>
    <t>背包# Item_Coin+1000</t>
  </si>
  <si>
    <t>("背包# Item_Coin+1000")</t>
  </si>
  <si>
    <t>Item_Test_05</t>
  </si>
  <si>
    <t>一万元红包</t>
  </si>
  <si>
    <t>背包# Item_Coin+10000</t>
  </si>
  <si>
    <t>("背包# Item_Coin+10000")</t>
  </si>
  <si>
    <t>Item_Test_06</t>
  </si>
  <si>
    <t>十万元支票</t>
  </si>
  <si>
    <t>背包# Item_Coin+100000</t>
  </si>
  <si>
    <t>("背包# Item_Coin+100000")</t>
  </si>
  <si>
    <t>Item_Test_07</t>
  </si>
  <si>
    <t>一百万元支票</t>
  </si>
  <si>
    <t>背包# Item_Coin+1000000</t>
  </si>
  <si>
    <t>("背包# Item_Coin+1000000")</t>
  </si>
  <si>
    <t>Item_Test_08</t>
  </si>
  <si>
    <t>一千万元支票</t>
  </si>
  <si>
    <t>背包# Item_Coin+10000000</t>
  </si>
  <si>
    <t>("背包# Item_Coin+10000000")</t>
  </si>
  <si>
    <t>【好感度】</t>
  </si>
  <si>
    <t>Like_宫本奈奈</t>
  </si>
  <si>
    <t>TXT_ItemType_好感度</t>
  </si>
  <si>
    <t>Like_佐藤阳菜</t>
  </si>
  <si>
    <t>Like_铃木凛</t>
  </si>
  <si>
    <t>Like_铃木葵</t>
  </si>
  <si>
    <t>Like_西园寺雪</t>
  </si>
  <si>
    <t>Like_白鸟凛子</t>
  </si>
  <si>
    <t>Like_田中美代子</t>
  </si>
  <si>
    <t>Like_田中小花</t>
  </si>
  <si>
    <t>Like_藤原静</t>
  </si>
  <si>
    <t>Like_影山菖蒲</t>
  </si>
  <si>
    <t>Like_宫本晴子</t>
  </si>
  <si>
    <t>Like_神代雪音</t>
  </si>
  <si>
    <t>Like_蕾娜・莉希特娜瓦</t>
  </si>
  <si>
    <t>【其他变量】</t>
  </si>
  <si>
    <t>Level_门头</t>
  </si>
  <si>
    <t>门头等级</t>
  </si>
  <si>
    <t>TXT_ItemType_其他变量</t>
  </si>
  <si>
    <t>Level_收银台</t>
  </si>
  <si>
    <t>收银台等级</t>
  </si>
  <si>
    <t>Level_休息区</t>
  </si>
  <si>
    <t>休息区等级</t>
  </si>
  <si>
    <t>Level_更衣区</t>
  </si>
  <si>
    <t>更衣区等级</t>
  </si>
  <si>
    <t>Level_庭院</t>
  </si>
  <si>
    <t>庭院等级</t>
  </si>
  <si>
    <t>Level_汤池</t>
  </si>
  <si>
    <t>汤池等级</t>
  </si>
  <si>
    <t>Level_知名度</t>
  </si>
  <si>
    <t>知名度等级</t>
  </si>
  <si>
    <t>Level_好评率</t>
  </si>
  <si>
    <t>好评率等级</t>
  </si>
  <si>
    <t>Level_主角魅力</t>
  </si>
  <si>
    <t>主角魅力等级</t>
  </si>
  <si>
    <t>地图名称</t>
  </si>
  <si>
    <t>地图立绘ID（白天）</t>
  </si>
  <si>
    <t>地图立绘（夜晚）</t>
  </si>
  <si>
    <t>地图切换1</t>
  </si>
  <si>
    <t>地图切换2</t>
  </si>
  <si>
    <t>地图切换3</t>
  </si>
  <si>
    <t>地图切换4</t>
  </si>
  <si>
    <t>测试-卧室1</t>
  </si>
  <si>
    <t>测试-餐厅</t>
  </si>
  <si>
    <t>测试-玄关</t>
  </si>
  <si>
    <t>Map_Room_004</t>
  </si>
  <si>
    <t>测试-卫生间</t>
  </si>
  <si>
    <t>Map_Room_005</t>
  </si>
  <si>
    <t>测试-客厅</t>
  </si>
  <si>
    <t>Map_Room_006</t>
  </si>
  <si>
    <t>测试-健身房</t>
  </si>
  <si>
    <t>Map_Room_007</t>
  </si>
  <si>
    <t>测试-温泉</t>
  </si>
  <si>
    <t>Map_Room_008</t>
  </si>
  <si>
    <t>测试-按摩室</t>
  </si>
  <si>
    <t>Map_Room_009</t>
  </si>
  <si>
    <t>测试-卧室2</t>
  </si>
  <si>
    <t>类型</t>
  </si>
  <si>
    <t>类型前缀</t>
  </si>
  <si>
    <t>TXT_Widget_开始游戏</t>
  </si>
  <si>
    <t>UI</t>
  </si>
  <si>
    <t>开始游戏</t>
  </si>
  <si>
    <t>Start Game</t>
  </si>
  <si>
    <t>ゲーム開始</t>
  </si>
  <si>
    <t>Widget</t>
  </si>
  <si>
    <t>TXT_Widget_设置</t>
  </si>
  <si>
    <t>设置</t>
  </si>
  <si>
    <t>Setting</t>
  </si>
  <si>
    <t>設定</t>
  </si>
  <si>
    <t>TXT_Widget_退出游戏</t>
  </si>
  <si>
    <t>退出游戏</t>
  </si>
  <si>
    <t>Quit</t>
  </si>
  <si>
    <t>ゲーム終了</t>
  </si>
  <si>
    <t>TXT_Widget_游戏设置</t>
  </si>
  <si>
    <t>游戏设置</t>
  </si>
  <si>
    <t>Game Settings</t>
  </si>
  <si>
    <t>ゲーム設定</t>
  </si>
  <si>
    <t>TXT_Widget_视频设置</t>
  </si>
  <si>
    <t>视频设置</t>
  </si>
  <si>
    <t>Video Settings</t>
  </si>
  <si>
    <t>ビデオ設定</t>
  </si>
  <si>
    <t>TXT_Widget_音量设置</t>
  </si>
  <si>
    <t>音量设置</t>
  </si>
  <si>
    <t>Volume Settings</t>
  </si>
  <si>
    <t>ボリューム設定</t>
  </si>
  <si>
    <t>TXT_Widget_重置为默认</t>
  </si>
  <si>
    <t>重置为默认</t>
  </si>
  <si>
    <t>Reset to Default</t>
  </si>
  <si>
    <t>デフォルトにリセット</t>
  </si>
  <si>
    <t>TXT_Widget_应用并保存</t>
  </si>
  <si>
    <t>应用并保存</t>
  </si>
  <si>
    <t>Apply and Save</t>
  </si>
  <si>
    <t>適用して保存</t>
  </si>
  <si>
    <t>TXT_Widget_返回</t>
  </si>
  <si>
    <t>返回</t>
  </si>
  <si>
    <t>Back</t>
  </si>
  <si>
    <t>戻る</t>
  </si>
  <si>
    <t>TXT_Widget_文本速度</t>
  </si>
  <si>
    <t>文本速度</t>
  </si>
  <si>
    <t>Text Speed</t>
  </si>
  <si>
    <t>テキスト速度</t>
  </si>
  <si>
    <t>TXT_Widget_自动播放速度</t>
  </si>
  <si>
    <t>自动播放速度</t>
  </si>
  <si>
    <t>Auto Play Speed</t>
  </si>
  <si>
    <t>オート再生速度</t>
  </si>
  <si>
    <t>TXT_Widget_语言</t>
  </si>
  <si>
    <t>语言</t>
  </si>
  <si>
    <t>Language</t>
  </si>
  <si>
    <t>言語</t>
  </si>
  <si>
    <t>TXT_Widget_显示模式</t>
  </si>
  <si>
    <t>显示模式</t>
  </si>
  <si>
    <t>Display Mode</t>
  </si>
  <si>
    <t>表示モード</t>
  </si>
  <si>
    <t>TXT_Widget_分辨率</t>
  </si>
  <si>
    <t>分辨率</t>
  </si>
  <si>
    <t>Resolution</t>
  </si>
  <si>
    <t>解像度</t>
  </si>
  <si>
    <t>TXT_Widget_刷新率</t>
  </si>
  <si>
    <t>刷新率</t>
  </si>
  <si>
    <t>Refresh Rate</t>
  </si>
  <si>
    <t>リフレッシュレート</t>
  </si>
  <si>
    <t>TXT_Widget_总音量</t>
  </si>
  <si>
    <t>总音量</t>
  </si>
  <si>
    <t>Master Volume</t>
  </si>
  <si>
    <t>マスターボリューム</t>
  </si>
  <si>
    <t>TXT_Widget_背景音乐</t>
  </si>
  <si>
    <t>背景音乐</t>
  </si>
  <si>
    <t>Background Music</t>
  </si>
  <si>
    <t>BGM（背景音楽）</t>
  </si>
  <si>
    <t>TXT_Widget_音效</t>
  </si>
  <si>
    <t>音效</t>
  </si>
  <si>
    <t>Sound Effects</t>
  </si>
  <si>
    <t>効果音</t>
  </si>
  <si>
    <t>TXT_Widget_全屏</t>
  </si>
  <si>
    <t>全屏</t>
  </si>
  <si>
    <t>Full Screen</t>
  </si>
  <si>
    <t>フルスクリーン</t>
  </si>
  <si>
    <t>TXT_Widget_无边框</t>
  </si>
  <si>
    <t>无边框</t>
  </si>
  <si>
    <t>Borderless</t>
  </si>
  <si>
    <t>ボーダーレス</t>
  </si>
  <si>
    <t>TXT_Widget_窗口化</t>
  </si>
  <si>
    <t>窗口化</t>
  </si>
  <si>
    <t>Windowed</t>
  </si>
  <si>
    <t>ウィンドウモード</t>
  </si>
  <si>
    <t>TXT_Widget_加载存档</t>
  </si>
  <si>
    <t>加载存档</t>
  </si>
  <si>
    <t>TXT_Widget_菜单</t>
  </si>
  <si>
    <t>菜单</t>
  </si>
  <si>
    <t>TXT_Widget_保存</t>
  </si>
  <si>
    <t>保存</t>
  </si>
  <si>
    <t>TXT_Widget_退出至标题</t>
  </si>
  <si>
    <t>退出至标题</t>
  </si>
  <si>
    <t>TXT_Widget_新游戏</t>
  </si>
  <si>
    <t>新游戏</t>
  </si>
  <si>
    <t>TXT_Language_简体中文</t>
  </si>
  <si>
    <t>简体中文</t>
  </si>
  <si>
    <t>TXT_Language_English</t>
  </si>
  <si>
    <t>English</t>
  </si>
  <si>
    <t>TXT_Language_日本語</t>
  </si>
  <si>
    <t>日本語</t>
  </si>
  <si>
    <t>TXT_ItemType_所有</t>
  </si>
  <si>
    <t>所有</t>
  </si>
  <si>
    <t>ItemType</t>
  </si>
  <si>
    <t>TXT_ItemType_其他</t>
  </si>
  <si>
    <t>其他</t>
  </si>
  <si>
    <t>货币</t>
  </si>
  <si>
    <t>好感度</t>
  </si>
  <si>
    <t>TXT_ItemType_任务道具</t>
  </si>
  <si>
    <t>任务道具</t>
  </si>
  <si>
    <t>道具</t>
  </si>
  <si>
    <t>TXT_TaskType_所有</t>
  </si>
  <si>
    <t>TaskType</t>
  </si>
  <si>
    <t>主线</t>
  </si>
  <si>
    <t>支线</t>
  </si>
  <si>
    <t>TXT_TaskType_隐藏</t>
  </si>
  <si>
    <t>隐藏</t>
  </si>
  <si>
    <t>子任务</t>
  </si>
  <si>
    <t>TXT_Widget_已完成</t>
  </si>
  <si>
    <t>已完成</t>
  </si>
  <si>
    <t>TXT_Widget_天数</t>
  </si>
  <si>
    <t>天数</t>
  </si>
  <si>
    <t>TXT_Widget_时间</t>
  </si>
  <si>
    <t>TXT_Widget_金币</t>
  </si>
  <si>
    <t>金币</t>
  </si>
  <si>
    <t>TXT_Widget_任务</t>
  </si>
  <si>
    <t>TXT_Widget_背包</t>
  </si>
  <si>
    <t>背包</t>
  </si>
  <si>
    <t>TXT_Widget_任务列表</t>
  </si>
  <si>
    <t>任务列表</t>
  </si>
  <si>
    <t>位置</t>
  </si>
  <si>
    <t>兼职项目</t>
  </si>
  <si>
    <t>提升属性</t>
  </si>
  <si>
    <t>提升好感度</t>
  </si>
  <si>
    <t>参考属性</t>
  </si>
  <si>
    <t>薪资基数</t>
  </si>
  <si>
    <t>汤之花庄</t>
  </si>
  <si>
    <t>打扫卫生</t>
  </si>
  <si>
    <t>收银</t>
  </si>
  <si>
    <t>发传单</t>
  </si>
  <si>
    <t>接待顾客</t>
  </si>
  <si>
    <t>搓澡</t>
  </si>
  <si>
    <t>按摩</t>
  </si>
  <si>
    <t>奈奈的小铺</t>
  </si>
  <si>
    <t>招揽顾客</t>
  </si>
  <si>
    <t>试做新配方</t>
  </si>
  <si>
    <t>渔店</t>
  </si>
  <si>
    <t>帮运货物</t>
  </si>
  <si>
    <t>手工店</t>
  </si>
  <si>
    <t>做手工</t>
  </si>
  <si>
    <t>杂货店</t>
  </si>
  <si>
    <t>整理货架</t>
  </si>
  <si>
    <t>娱乐公司</t>
  </si>
  <si>
    <t>歌手助理</t>
  </si>
  <si>
    <t>模特助理</t>
  </si>
  <si>
    <t>摄影助理</t>
  </si>
  <si>
    <t>设计公司</t>
  </si>
  <si>
    <t>画画助手</t>
  </si>
  <si>
    <t>设计助理</t>
  </si>
  <si>
    <t>ID</t>
  </si>
  <si>
    <t>角色</t>
  </si>
  <si>
    <t>攻略解锁条件</t>
  </si>
  <si>
    <t>1星解锁</t>
  </si>
  <si>
    <t>2星解锁</t>
  </si>
  <si>
    <t>3星解锁</t>
  </si>
  <si>
    <t>4星解锁</t>
  </si>
  <si>
    <t>5星解锁</t>
  </si>
  <si>
    <t>无</t>
  </si>
  <si>
    <t>二周目以上</t>
  </si>
  <si>
    <t>完成攻略田中美代子</t>
  </si>
  <si>
    <t>完成攻略宫本晴子</t>
  </si>
  <si>
    <t>等级</t>
  </si>
  <si>
    <t>基础收益</t>
  </si>
  <si>
    <t>加成比例</t>
  </si>
  <si>
    <t>升级消耗金币</t>
  </si>
  <si>
    <t>其他升级条件</t>
  </si>
  <si>
    <t>门头</t>
  </si>
  <si>
    <t>知名度&gt;2级</t>
  </si>
  <si>
    <t>知名度&gt;3级</t>
  </si>
  <si>
    <t>知名度&gt;4级</t>
  </si>
  <si>
    <t>收银台</t>
  </si>
  <si>
    <t>门头&gt;2级</t>
  </si>
  <si>
    <t>门头&gt;3级</t>
  </si>
  <si>
    <t>门头&gt;4级</t>
  </si>
  <si>
    <t>门头&gt;5级</t>
  </si>
  <si>
    <t>休息区</t>
  </si>
  <si>
    <t>更衣区</t>
  </si>
  <si>
    <t>庭院</t>
  </si>
  <si>
    <t>汤池</t>
  </si>
  <si>
    <t>知名度</t>
  </si>
  <si>
    <t>接待旅客数 &gt; 100</t>
  </si>
  <si>
    <t>好评率</t>
  </si>
  <si>
    <t>发传单主角魅力等级</t>
  </si>
  <si>
    <t>("OPT_Test_001","OPT_Test_002","OPT_Test_003")</t>
  </si>
</sst>
</file>

<file path=xl/styles.xml><?xml version="1.0" encoding="utf-8"?>
<styleSheet xmlns="http://schemas.openxmlformats.org/spreadsheetml/2006/main">
  <numFmts count="1">
    <numFmt numFmtId="300" formatCode="@"/>
  </numFmts>
  <fonts count="10">
    <font>
      <name val="等线"/>
      <charset val="134"/>
      <family val="2"/>
      <color theme="1"/>
      <sz val="10"/>
      <scheme val="minor"/>
    </font>
    <font>
      <name val="等线"/>
      <charset val="134"/>
      <color rgb="FF175CEB"/>
      <sz val="10"/>
      <u/>
      <scheme val="minor"/>
    </font>
    <font>
      <name val="Segoe UI Symbol"/>
      <family val="2"/>
      <color rgb="FF000000"/>
      <sz val="10"/>
    </font>
    <font>
      <name val="等线"/>
      <charset val="134"/>
      <family val="2"/>
      <color theme="1"/>
      <sz val="10"/>
      <scheme val="minor"/>
    </font>
    <font>
      <sz val="11"/>
    </font>
    <font>
      <sz val="9"/>
    </font>
    <font/>
    <font>
      <sz val="10"/>
    </font>
    <font>
      <name val="宋体"/>
      <sz val="11"/>
    </font>
    <font>
      <color rgb="FF333333"/>
    </font>
  </fonts>
  <fills count="11">
    <fill>
      <patternFill patternType="none"/>
    </fill>
    <fill>
      <patternFill patternType="gray125"/>
    </fill>
    <fill>
      <patternFill patternType="none"/>
    </fill>
    <fill>
      <patternFill patternType="solid">
        <fgColor rgb="FFFFF9E3"/>
      </patternFill>
    </fill>
    <fill>
      <patternFill patternType="solid">
        <fgColor rgb="FFE5F6FF"/>
      </patternFill>
    </fill>
    <fill>
      <patternFill patternType="solid">
        <fgColor rgb="FFFDEBFF"/>
      </patternFill>
    </fill>
    <fill>
      <patternFill patternType="solid">
        <fgColor rgb="FFEAFAF1"/>
      </patternFill>
    </fill>
    <fill>
      <patternFill patternType="solid">
        <fgColor rgb="FFFFFFFF"/>
        <bgColor auto="1"/>
      </patternFill>
    </fill>
    <fill>
      <patternFill patternType="solid">
        <fgColor rgb="FFEBF1F8"/>
        <bgColor auto="1"/>
      </patternFill>
    </fill>
    <fill>
      <patternFill patternType="solid">
        <fgColor rgb="FFFFFFFF"/>
      </patternFill>
    </fill>
    <fill>
      <patternFill patternType="solid">
        <fgColor rgb="FFFFE9E8"/>
      </patternFill>
    </fill>
  </fills>
  <borders count="6">
    <border>
      <left/>
      <right/>
      <top/>
      <bottom/>
      <diagonal/>
    </border>
    <border>
      <left/>
      <right/>
      <top/>
      <bottom/>
      <diagonal/>
    </border>
    <border>
      <bottom style="thin">
        <color rgb="FFFFFFFF"/>
      </bottom>
    </border>
    <border>
      <bottom/>
    </border>
    <border/>
    <border>
      <left style="thin">
        <color rgb="FFDEE0E3"/>
      </left>
      <right style="thin">
        <color rgb="FFDEE0E3"/>
      </right>
      <top style="thin">
        <color rgb="FFDEE0E3"/>
      </top>
      <bottom style="thin">
        <color rgb="FFD9D9D9"/>
      </bottom>
    </border>
  </borders>
  <cellStyleXfs>
    <xf numFmtId="0" fontId="0" fillId="0" borderId="0" xfId="0">
      <alignment vertical="center"/>
    </xf>
  </cellStyleXfs>
  <cellXfs count="8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2" borderId="1" xfId="0">
      <alignment vertical="center"/>
    </xf>
    <xf fontId="3" fillId="2" borderId="1" xfId="0">
      <alignment horizontal="center" vertical="center" wrapText="1"/>
    </xf>
    <xf fontId="3" fillId="3" borderId="1" xfId="0">
      <alignment vertical="center"/>
    </xf>
    <xf fontId="3" fillId="3" borderId="1" xfId="0">
      <alignment horizontal="center" vertical="center" wrapText="1"/>
    </xf>
    <xf fontId="3" fillId="4" borderId="1" xfId="0">
      <alignment vertical="center"/>
    </xf>
    <xf fontId="3" fillId="4" borderId="1" xfId="0">
      <alignment horizontal="center" vertical="center" wrapText="1"/>
    </xf>
    <xf numFmtId="0" fontId="4" fillId="4" borderId="1" xfId="0">
      <alignment vertical="center" textRotation="0"/>
    </xf>
    <xf numFmtId="0" fontId="4" fillId="4" borderId="1" xfId="0">
      <alignment vertical="center" textRotation="0" wrapText="1"/>
    </xf>
    <xf numFmtId="0" fontId="4" fillId="3" borderId="1" xfId="0">
      <alignment vertical="center" textRotation="0"/>
    </xf>
    <xf numFmtId="0" fontId="4" fillId="3" borderId="1" xfId="0">
      <alignment vertical="center" textRotation="0" wrapText="1"/>
    </xf>
    <xf fontId="3" fillId="3" borderId="1" xfId="0">
      <alignment vertical="center" wrapText="1"/>
    </xf>
    <xf numFmtId="28" fontId="5" fillId="4" borderId="1" xfId="0">
      <alignment vertical="center" textRotation="0" wrapText="0"/>
    </xf>
    <xf numFmtId="0" fontId="4" fillId="4" borderId="1" xfId="0">
      <alignment vertical="center" textRotation="0" wrapText="0"/>
    </xf>
    <xf fontId="4" fillId="4" borderId="1" xfId="0">
      <alignment vertical="center" textRotation="0"/>
    </xf>
    <xf fontId="6" fillId="3" borderId="1" xfId="0">
      <alignment vertical="center"/>
    </xf>
    <xf fontId="6" fillId="4" borderId="1" xfId="0">
      <alignment vertical="center"/>
    </xf>
    <xf fontId="5" fillId="4" borderId="1" xfId="0">
      <alignment vertical="center" wrapText="0"/>
    </xf>
    <xf numFmtId="0" fontId="6" fillId="4" borderId="1" xfId="0">
      <alignment vertical="center" wrapText="0"/>
    </xf>
    <xf fontId="6" fillId="4" borderId="1" xfId="0">
      <alignment vertical="center" wrapText="1"/>
    </xf>
    <xf numFmtId="0" fontId="3" fillId="4" borderId="1" xfId="0">
      <alignment vertical="center" wrapText="1"/>
    </xf>
    <xf fontId="6" fillId="4" borderId="1" xfId="0">
      <alignment vertical="center" wrapText="0"/>
    </xf>
    <xf numFmtId="0" fontId="7" fillId="4" borderId="2" xfId="0">
      <alignment vertical="center" wrapText="1"/>
    </xf>
    <xf fontId="3" fillId="4" borderId="1" xfId="0">
      <alignment vertical="center" wrapText="1"/>
    </xf>
    <xf numFmtId="0" fontId="3" fillId="4" borderId="1" xfId="0">
      <alignment vertical="center"/>
    </xf>
    <xf fontId="5" fillId="4" borderId="1" xfId="0">
      <alignment vertical="center" textRotation="0" wrapText="0"/>
    </xf>
    <xf fontId="4" fillId="4" borderId="1" xfId="0">
      <alignment vertical="center" textRotation="0" wrapText="0"/>
    </xf>
    <xf fontId="6" fillId="4" borderId="3" xfId="0">
      <alignment vertical="center" wrapText="1"/>
    </xf>
    <xf numFmtId="0" fontId="6" fillId="4" borderId="3" xfId="0">
      <alignment vertical="center"/>
    </xf>
    <xf fontId="6" fillId="4" borderId="3" xfId="0">
      <alignment vertical="center"/>
    </xf>
    <xf numFmtId="49" fontId="3" fillId="2" borderId="1" xfId="0">
      <alignment vertical="center"/>
    </xf>
    <xf numFmtId="49" fontId="3" fillId="4" borderId="1" xfId="0">
      <alignment vertical="center"/>
    </xf>
    <xf numFmtId="49" fontId="3" fillId="3" borderId="1" xfId="0">
      <alignment vertical="center"/>
    </xf>
    <xf fontId="3" fillId="5" borderId="1" xfId="0">
      <alignment vertical="center"/>
    </xf>
    <xf numFmtId="49" fontId="3" fillId="5" borderId="1" xfId="0">
      <alignment vertical="center"/>
    </xf>
    <xf fontId="3" fillId="6" borderId="1" xfId="0">
      <alignment vertical="center"/>
    </xf>
    <xf numFmtId="49" fontId="3" fillId="6" borderId="1" xfId="0">
      <alignment vertical="center"/>
    </xf>
    <xf fontId="6" fillId="3" borderId="4" xfId="0">
      <alignment/>
    </xf>
    <xf fontId="6" fillId="3" borderId="4" xfId="0">
      <alignment vertical="center"/>
    </xf>
    <xf numFmtId="0" fontId="3" fillId="4" borderId="1" xfId="0">
      <alignment vertical="center" wrapText="0"/>
    </xf>
    <xf numFmtId="0" fontId="8" fillId="2" borderId="1" xfId="0">
      <alignment vertical="center" textRotation="0" wrapText="1"/>
    </xf>
    <xf fontId="3" fillId="2" borderId="1" xfId="0">
      <alignment vertical="center" wrapText="1"/>
    </xf>
    <xf numFmtId="0" fontId="3" fillId="2" borderId="1" xfId="0">
      <alignment vertical="center" wrapText="1"/>
    </xf>
    <xf fontId="9" fillId="7" borderId="5" xfId="0">
      <alignment vertical="center"/>
    </xf>
    <xf fontId="6" fillId="2" borderId="1" xfId="0">
      <alignment/>
    </xf>
    <xf numFmtId="0" fontId="9" fillId="8" borderId="5" xfId="0">
      <alignment vertical="center"/>
    </xf>
    <xf numFmtId="0" fontId="9" fillId="7" borderId="5" xfId="0">
      <alignment vertical="center"/>
    </xf>
    <xf fontId="9" fillId="8" borderId="5" xfId="0">
      <alignment vertical="center"/>
    </xf>
    <xf fontId="3" fillId="2" borderId="1" xfId="0">
      <alignment/>
    </xf>
    <xf fontId="6" fillId="2" borderId="1" xfId="0">
      <alignment vertical="center" wrapText="0"/>
    </xf>
    <xf fontId="3" fillId="2" borderId="1" xfId="0">
      <alignment horizontal="left" vertical="center"/>
    </xf>
    <xf fontId="5" fillId="2" borderId="1" xfId="0">
      <alignment vertical="center" wrapText="0"/>
    </xf>
    <xf fontId="5" fillId="3" borderId="1" xfId="0">
      <alignment vertical="center" wrapText="0"/>
    </xf>
    <xf fontId="3" fillId="3" borderId="1" xfId="0">
      <alignment horizontal="left" vertical="center"/>
    </xf>
    <xf fontId="3" fillId="9" borderId="1" xfId="0">
      <alignment vertical="center"/>
    </xf>
    <xf fontId="3" fillId="4" borderId="1" xfId="0">
      <alignment horizontal="left" vertical="center"/>
    </xf>
    <xf fontId="5" fillId="9" borderId="1" xfId="0">
      <alignment vertical="center" wrapText="0"/>
    </xf>
    <xf fontId="3" fillId="9" borderId="1" xfId="0">
      <alignment horizontal="left" vertical="center"/>
    </xf>
    <xf fontId="3" fillId="10" borderId="1" xfId="0">
      <alignment vertical="center"/>
    </xf>
    <xf fontId="5" fillId="10" borderId="1" xfId="0">
      <alignment vertical="center" wrapText="0"/>
    </xf>
    <xf fontId="3" fillId="10" borderId="1" xfId="0">
      <alignment horizontal="left" vertical="center"/>
    </xf>
    <xf fontId="5" fillId="6" borderId="1" xfId="0">
      <alignment vertical="center" wrapText="0"/>
    </xf>
    <xf fontId="3" fillId="6" borderId="1" xfId="0">
      <alignment horizontal="left" vertical="center"/>
    </xf>
    <xf numFmtId="0" fontId="6" fillId="2" borderId="1" xfId="0">
      <alignment vertical="center" wrapText="0"/>
    </xf>
    <xf fontId="3" fillId="4" borderId="3" xfId="0">
      <alignment vertical="center"/>
    </xf>
    <xf fontId="6" fillId="2" borderId="1" xfId="0">
      <alignment vertical="center"/>
    </xf>
    <xf numFmtId="9" fontId="3" fillId="2" borderId="1" xfId="0">
      <alignment vertical="center"/>
    </xf>
    <xf fontId="0" fillId="3" borderId="1" xfId="0">
      <alignment vertical="center"/>
    </xf>
    <xf fontId="0" fillId="4" borderId="1" xfId="0">
      <alignment vertical="center"/>
    </xf>
    <xf fontId="0" fillId="2" borderId="1" xfId="0">
      <alignment horizontal="center" vertical="center" wrapText="1"/>
    </xf>
    <xf fontId="0" fillId="4" borderId="1" xfId="0">
      <alignment vertical="center"/>
    </xf>
    <xf fontId="0" fillId="4" borderId="1" xfId="0">
      <alignment vertical="center" wrapText="1"/>
    </xf>
    <xf fontId="0" fillId="3" borderId="1" xfId="0">
      <alignment vertical="center"/>
    </xf>
    <xf fontId="0" fillId="3" borderId="1" xfId="0">
      <alignment vertical="center" wrapText="1"/>
    </xf>
    <xf fontId="0" fillId="5" borderId="1" xfId="0">
      <alignment vertical="center"/>
    </xf>
    <xf fontId="0" fillId="6" borderId="1" xfId="0">
      <alignment vertical="center"/>
    </xf>
    <xf numFmtId="300" fontId="0" fillId="2" borderId="1" xfId="0">
      <alignment vertical="center"/>
    </xf>
    <xf fontId="0" fillId="2" borderId="1" xfId="0">
      <alignment vertical="center" wrapText="1"/>
    </xf>
    <xf fontId="0" fillId="9" borderId="1" xfId="0">
      <alignment vertical="center"/>
    </xf>
    <xf fontId="0" fillId="10" borderId="1" xfId="0">
      <alignment vertical="center"/>
    </xf>
    <xf fontId="0" fillId="2" borderId="1" xfId="0">
      <alignment horizontal="left" vertical="center"/>
    </xf>
  </cellXfs>
</styleSheet>
</file>

<file path=xl/_rels/workbook.xml.rels><?xml version="1.0" encoding="UTF-8" standalone="yes"?><Relationships xmlns="http://schemas.openxmlformats.org/package/2006/relationships"><Relationship Id="rId0" Type="http://schemas.openxmlformats.org/officeDocument/2006/relationships/sharedStrings" Target="sharedStrings.xml" /><Relationship Id="rId1" Type="http://schemas.openxmlformats.org/officeDocument/2006/relationships/theme" Target="theme/theme1.xml" /><Relationship Id="rId10" Type="http://schemas.openxmlformats.org/officeDocument/2006/relationships/worksheet" Target="worksheets/sheet8.xml" /><Relationship Id="rId13" Type="http://schemas.openxmlformats.org/officeDocument/2006/relationships/worksheet" Target="worksheets/sheet11.xml" /><Relationship Id="rId11" Type="http://schemas.openxmlformats.org/officeDocument/2006/relationships/worksheet" Target="worksheets/sheet9.xml" /><Relationship Id="rId18" Type="http://schemas.openxmlformats.org/officeDocument/2006/relationships/worksheet" Target="worksheets/sheet16.xml" /><Relationship Id="rId12" Type="http://schemas.openxmlformats.org/officeDocument/2006/relationships/worksheet" Target="worksheets/sheet10.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theme/theme1.xml><?xml version="1.0" encoding="utf-8"?>
<a:theme xmlns:a="http://schemas.openxmlformats.org/drawingml/2006/main" xmlns:thm15="http://schemas.microsoft.com/office/thememl/2012/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条件指令汇总】">
    <tabColor rgb="FFFF9C99"/>
  </sheetPr>
  <dimension ref="E35"/>
  <sheetViews>
    <sheetView showGridLines="1" workbookViewId="0"/>
  </sheetViews>
  <sheetFormatPr baseColWidth="13" defaultRowHeight="18" customHeight="1"/>
  <cols>
    <col min="3" max="3" width="38.4414" customWidth="1"/>
    <col min="4" max="4" width="33.582" customWidth="1"/>
    <col min="5" max="5" width="64.2031" style="72" customWidth="1"/>
  </cols>
  <sheetData>
    <row r="1" spans="1:5" ht="39.75" customHeight="1">
      <c r="A1" s="4" t="s">
        <v>1</v>
      </c>
      <c r="B1" s="4" t="s">
        <v>2</v>
      </c>
      <c r="C1" s="4" t="s">
        <v>3</v>
      </c>
      <c r="D1" s="4" t="s">
        <v>4</v>
      </c>
      <c r="E1" s="5" t="s">
        <v>5</v>
      </c>
    </row>
    <row r="3" spans="1:5" s="70" customFormat="1">
      <c r="A3" s="6" t="s">
        <v>6</v>
      </c>
      <c r="E3" s="7" t="s"/>
    </row>
    <row r="4" spans="1:5">
      <c r="A4" s="4" t="s">
        <v>7</v>
      </c>
      <c r="B4" s="4" t="s">
        <v>8</v>
      </c>
      <c r="C4" s="4" t="s">
        <v>9</v>
      </c>
      <c r="D4" s="4" t="s">
        <v>10</v>
      </c>
      <c r="E4" s="5" t="s">
        <v>11</v>
      </c>
    </row>
    <row r="5" spans="2:4">
      <c r="B5" s="4" t="s">
        <v>12</v>
      </c>
      <c r="C5" s="4" t="s">
        <v>13</v>
      </c>
      <c r="D5" s="4" t="s">
        <v>14</v>
      </c>
    </row>
    <row r="6" spans="2:4">
      <c r="B6" s="4" t="s">
        <v>15</v>
      </c>
      <c r="C6" s="4" t="s">
        <v>16</v>
      </c>
      <c r="D6" s="4" t="s">
        <v>17</v>
      </c>
    </row>
    <row r="7" spans="2:4">
      <c r="B7" s="4" t="s">
        <v>18</v>
      </c>
      <c r="C7" s="4" t="s">
        <v>19</v>
      </c>
      <c r="D7" s="4" t="s">
        <v>20</v>
      </c>
    </row>
    <row r="8" spans="2:4">
      <c r="B8" s="4" t="s">
        <v>21</v>
      </c>
      <c r="C8" s="4" t="s">
        <v>22</v>
      </c>
      <c r="D8" s="4" t="s">
        <v>23</v>
      </c>
    </row>
    <row r="9" spans="1:5">
      <c r="A9" s="4" t="s">
        <v>24</v>
      </c>
      <c r="B9" s="4" t="s">
        <v>25</v>
      </c>
      <c r="C9" s="4" t="s">
        <v>26</v>
      </c>
      <c r="D9" s="4" t="s">
        <v>27</v>
      </c>
      <c r="E9" s="5" t="s">
        <v>28</v>
      </c>
    </row>
    <row r="10" spans="2:4">
      <c r="B10" s="4" t="s">
        <v>29</v>
      </c>
      <c r="C10" s="4" t="s">
        <v>30</v>
      </c>
      <c r="D10" s="4" t="s">
        <v>31</v>
      </c>
    </row>
    <row r="11" spans="1:5">
      <c r="A11" s="4" t="s">
        <v>32</v>
      </c>
      <c r="B11" s="4" t="s">
        <v>25</v>
      </c>
      <c r="C11" s="4" t="s">
        <v>33</v>
      </c>
      <c r="D11" s="4" t="s">
        <v>34</v>
      </c>
      <c r="E11" s="5" t="s">
        <v>35</v>
      </c>
    </row>
    <row r="12" spans="2:4">
      <c r="B12" s="4" t="s">
        <v>29</v>
      </c>
      <c r="C12" s="4" t="s">
        <v>36</v>
      </c>
      <c r="D12" s="4" t="s">
        <v>37</v>
      </c>
    </row>
    <row r="13" spans="1:5">
      <c r="A13" s="4" t="s">
        <v>38</v>
      </c>
      <c r="B13" s="4" t="s">
        <v>25</v>
      </c>
      <c r="C13" s="4" t="s">
        <v>39</v>
      </c>
      <c r="D13" s="4" t="s">
        <v>40</v>
      </c>
      <c r="E13" s="5" t="s">
        <v>41</v>
      </c>
    </row>
    <row r="14" spans="2:4">
      <c r="B14" s="4" t="s">
        <v>29</v>
      </c>
      <c r="C14" s="4" t="s">
        <v>42</v>
      </c>
      <c r="D14" s="4" t="s">
        <v>43</v>
      </c>
    </row>
    <row r="16" spans="1:5" s="71" customFormat="1">
      <c r="A16" s="8" t="s">
        <v>44</v>
      </c>
      <c r="E16" s="9" t="s"/>
    </row>
    <row r="17" spans="1:5">
      <c r="A17" s="4" t="s">
        <v>45</v>
      </c>
      <c r="B17" s="4" t="s">
        <v>46</v>
      </c>
      <c r="C17" s="4" t="s">
        <v>47</v>
      </c>
      <c r="D17" s="4" t="s">
        <v>48</v>
      </c>
      <c r="E17" s="5" t="s">
        <v>49</v>
      </c>
    </row>
    <row r="18" spans="2:4">
      <c r="B18" s="4" t="s">
        <v>50</v>
      </c>
      <c r="C18" s="4" t="s">
        <v>47</v>
      </c>
      <c r="D18" s="4" t="s">
        <v>51</v>
      </c>
    </row>
    <row r="19" spans="2:5">
      <c r="B19" s="4" t="s">
        <v>52</v>
      </c>
      <c r="C19" s="4" t="s">
        <v>53</v>
      </c>
      <c r="D19" s="4" t="s">
        <v>54</v>
      </c>
      <c r="E19" s="5" t="s">
        <v>55</v>
      </c>
    </row>
    <row r="20" spans="2:4">
      <c r="B20" s="4" t="s">
        <v>56</v>
      </c>
      <c r="C20" s="4" t="s">
        <v>57</v>
      </c>
      <c r="D20" s="4" t="s">
        <v>58</v>
      </c>
    </row>
    <row r="21" spans="1:5">
      <c r="A21" s="4" t="s">
        <v>59</v>
      </c>
      <c r="B21" s="4" t="s">
        <v>60</v>
      </c>
      <c r="C21" s="4" t="s">
        <v>61</v>
      </c>
      <c r="D21" s="4" t="s">
        <v>62</v>
      </c>
      <c r="E21" s="5" t="s">
        <v>63</v>
      </c>
    </row>
    <row r="22" spans="2:4">
      <c r="B22" s="4" t="s">
        <v>64</v>
      </c>
      <c r="C22" s="4" t="s">
        <v>65</v>
      </c>
      <c r="D22" s="4" t="s">
        <v>65</v>
      </c>
    </row>
    <row r="23" spans="1:5">
      <c r="A23" s="4" t="s">
        <v>66</v>
      </c>
      <c r="B23" s="4" t="s">
        <v>67</v>
      </c>
      <c r="C23" s="4" t="s">
        <v>68</v>
      </c>
      <c r="D23" s="4" t="s">
        <v>69</v>
      </c>
      <c r="E23" s="5" t="s">
        <v>70</v>
      </c>
    </row>
    <row r="24" spans="2:4">
      <c r="B24" s="4" t="s">
        <v>71</v>
      </c>
      <c r="C24" s="4" t="s">
        <v>72</v>
      </c>
      <c r="D24" s="4" t="s">
        <v>72</v>
      </c>
    </row>
    <row r="25" spans="1:5">
      <c r="A25" s="4" t="s">
        <v>73</v>
      </c>
      <c r="B25" s="4" t="s">
        <v>74</v>
      </c>
      <c r="C25" s="4" t="s">
        <v>75</v>
      </c>
      <c r="D25" s="4" t="s">
        <v>76</v>
      </c>
      <c r="E25" s="5" t="s">
        <v>35</v>
      </c>
    </row>
    <row r="26" spans="1:5">
      <c r="A26" s="4" t="s">
        <v>77</v>
      </c>
      <c r="B26" s="4" t="s">
        <v>78</v>
      </c>
      <c r="C26" s="4" t="s">
        <v>79</v>
      </c>
      <c r="D26" s="4" t="s">
        <v>80</v>
      </c>
      <c r="E26" s="5" t="s">
        <v>11</v>
      </c>
    </row>
    <row r="27" spans="2:4">
      <c r="B27" s="4" t="s">
        <v>81</v>
      </c>
      <c r="C27" s="4" t="s">
        <v>82</v>
      </c>
      <c r="D27" s="4" t="s">
        <v>83</v>
      </c>
    </row>
    <row r="28" spans="2:4">
      <c r="B28" s="4" t="s">
        <v>84</v>
      </c>
      <c r="C28" s="4" t="s">
        <v>85</v>
      </c>
      <c r="D28" s="4" t="s">
        <v>86</v>
      </c>
    </row>
    <row r="29" spans="1:5">
      <c r="A29" s="4" t="s">
        <v>87</v>
      </c>
      <c r="B29" s="4" t="s">
        <v>88</v>
      </c>
      <c r="C29" s="4" t="s">
        <v>89</v>
      </c>
      <c r="D29" s="4" t="s">
        <v>90</v>
      </c>
      <c r="E29" s="5" t="s">
        <v>91</v>
      </c>
    </row>
    <row r="30" spans="2:5">
      <c r="B30" s="4" t="s">
        <v>92</v>
      </c>
      <c r="C30" s="4" t="s">
        <v>93</v>
      </c>
      <c r="D30" s="4" t="s">
        <v>94</v>
      </c>
      <c r="E30" s="5" t="s">
        <v>95</v>
      </c>
    </row>
    <row r="31" spans="2:4">
      <c r="B31" s="4" t="s">
        <v>96</v>
      </c>
      <c r="C31" s="4" t="s">
        <v>97</v>
      </c>
      <c r="D31" s="4" t="s">
        <v>98</v>
      </c>
    </row>
    <row r="32" spans="2:4">
      <c r="B32" s="4" t="s">
        <v>99</v>
      </c>
      <c r="C32" s="4" t="s">
        <v>100</v>
      </c>
      <c r="D32" s="4" t="s">
        <v>101</v>
      </c>
    </row>
    <row r="33" spans="2:4">
      <c r="B33" s="4" t="s">
        <v>102</v>
      </c>
      <c r="C33" s="4" t="s">
        <v>103</v>
      </c>
      <c r="D33" s="4" t="s">
        <v>104</v>
      </c>
    </row>
    <row r="34" spans="1:5">
      <c r="A34" s="4" t="s">
        <v>105</v>
      </c>
      <c r="B34" s="4" t="s">
        <v>106</v>
      </c>
      <c r="C34" s="4" t="s">
        <v>107</v>
      </c>
      <c r="D34" s="4" t="s">
        <v>108</v>
      </c>
      <c r="E34" s="5" t="s">
        <v>28</v>
      </c>
    </row>
    <row r="35" spans="1:5">
      <c r="A35" s="4" t="s">
        <v>109</v>
      </c>
      <c r="C35" s="4" t="s">
        <v>110</v>
      </c>
      <c r="D35" s="4" t="s">
        <v>111</v>
      </c>
      <c r="E35" s="5" t="s">
        <v>112</v>
      </c>
    </row>
  </sheetData>
  <mergeCells count="19">
    <mergeCell ref="E17:E18"/>
    <mergeCell ref="E19:E20"/>
    <mergeCell ref="A26:A28"/>
    <mergeCell ref="E26:E28"/>
    <mergeCell ref="A4:A8"/>
    <mergeCell ref="E4:E8"/>
    <mergeCell ref="A9:A10"/>
    <mergeCell ref="E9:E10"/>
    <mergeCell ref="A11:A12"/>
    <mergeCell ref="E11:E12"/>
    <mergeCell ref="A13:A14"/>
    <mergeCell ref="E13:E14"/>
    <mergeCell ref="A17:A20"/>
    <mergeCell ref="E30:E33"/>
    <mergeCell ref="A29:A33"/>
    <mergeCell ref="A21:A22"/>
    <mergeCell ref="E21:E22"/>
    <mergeCell ref="A23:A24"/>
    <mergeCell ref="E23:E24"/>
  </mergeCells>
</worksheet>
</file>

<file path=xl/worksheets/sheet2.xml><?xml version="1.0" encoding="utf-8"?>
<worksheet xmlns="http://schemas.openxmlformats.org/spreadsheetml/2006/main">
  <sheetPr codeName="对话"/>
  <dimension ref="M200"/>
  <sheetViews>
    <sheetView showGridLines="1" workbookViewId="0"/>
  </sheetViews>
  <cols>
    <col min="1" max="1" width="13.7539" style="73" customWidth="1"/>
    <col min="2" max="2" width="12.6836" style="73" customWidth="1"/>
    <col min="3" max="3" width="16.7227" style="19" customWidth="1"/>
    <col min="4" max="4" width="56.9219" style="74" customWidth="1"/>
    <col min="5" max="5" width="37.3633" style="73" customWidth="1"/>
    <col min="6" max="6" width="31.832" style="73" customWidth="1"/>
    <col min="7" max="7" width="21.8516" style="73" customWidth="1"/>
    <col min="8" max="9" width="43.0312" style="74" customWidth="1"/>
    <col min="10" max="10" width="23.2031" style="75" customWidth="1"/>
    <col min="11" max="11" width="23.332" style="75" customWidth="1"/>
    <col min="12" max="12" width="58.543" style="76" customWidth="1"/>
    <col min="13" max="13" width="58.1328" style="76" customWidth="1"/>
  </cols>
  <sheetData>
    <row r="1" spans="1:13">
      <c r="A1" s="10" t="s"/>
      <c r="B1" s="10" t="s">
        <v>113</v>
      </c>
      <c r="C1" s="10" t="s">
        <v>114</v>
      </c>
      <c r="D1" s="11" t="s">
        <v>115</v>
      </c>
      <c r="E1" s="10" t="s">
        <v>116</v>
      </c>
      <c r="F1" s="10" t="s">
        <v>117</v>
      </c>
      <c r="G1" s="10" t="s">
        <v>118</v>
      </c>
      <c r="H1" s="11" t="s">
        <v>119</v>
      </c>
      <c r="I1" s="11" t="s">
        <v>120</v>
      </c>
      <c r="J1" s="12" t="s">
        <v>121</v>
      </c>
      <c r="K1" s="13" t="s">
        <v>122</v>
      </c>
      <c r="L1" s="13" t="s">
        <v>123</v>
      </c>
      <c r="M1" s="14" t="s">
        <v>124</v>
      </c>
    </row>
    <row r="2" spans="1:13">
      <c r="A2" s="10" t="s"/>
      <c r="B2" s="15" t="s"/>
      <c r="C2" s="16" t="s"/>
      <c r="D2" s="11" t="s"/>
      <c r="E2" s="17" t="s"/>
      <c r="F2" s="11" t="s"/>
      <c r="G2" s="16" t="s"/>
      <c r="H2" s="11" t="s"/>
      <c r="I2" s="11" t="s"/>
      <c r="J2" s="18" t="str">
        <f>="VOI_"&amp;A2</f>
        <v>VOI_</v>
      </c>
      <c r="K2" s="18">
        <f>=A2</f>
        <v>0</v>
      </c>
      <c r="L2" s="13" t="str">
        <f>=IF(ISBLANK(F2),"","("&amp;""""&amp;SUBSTITUTE(F2,"
",""""&amp;","&amp;"""")&amp;""""&amp;")")</f>
        <v/>
      </c>
      <c r="M2" s="13" t="str">
        <f>=IF(ISBLANK(E2),"","("&amp;""""&amp;SUBSTITUTE(E2,"
",""""&amp;","&amp;"""")&amp;""""&amp;")")</f>
        <v/>
      </c>
    </row>
    <row r="3" spans="1:13">
      <c r="A3" s="19" t="s">
        <v>126</v>
      </c>
      <c r="B3" s="20" t="s">
        <v>127</v>
      </c>
      <c r="C3" s="21" t="s">
        <v>128</v>
      </c>
      <c r="D3" s="22" t="s">
        <v>129</v>
      </c>
      <c r="E3" s="23" t="s">
        <v>130</v>
      </c>
      <c r="F3" s="8" t="s"/>
      <c r="G3" s="24" t="s"/>
      <c r="H3" s="25" t="s">
        <v>131</v>
      </c>
      <c r="I3" s="25" t="s">
        <v>132</v>
      </c>
      <c r="J3" s="18" t="str">
        <f>="VOI_"&amp;A3</f>
        <v>VOI_P_Test_001-1</v>
      </c>
      <c r="K3" s="18" t="str">
        <f>=A3</f>
        <v>P_Test_001-1</v>
      </c>
      <c r="L3" s="13" t="str">
        <f>=IF(ISBLANK(F3),"","("&amp;""""&amp;SUBSTITUTE(F3,"
",""""&amp;","&amp;"""")&amp;""""&amp;")")</f>
        <v/>
      </c>
      <c r="M3" s="13" t="str">
        <f>=IF(ISBLANK(E3),"","("&amp;""""&amp;SUBSTITUTE(E3,"
",""""&amp;","&amp;"""")&amp;""""&amp;")")</f>
        <v>("剧情.演出# CHA_西园寺雪.进入=0","剧情.演出# CHA_影山菖蒲.进入=0")</v>
      </c>
    </row>
    <row r="4" spans="1:13">
      <c r="A4" s="19" t="s">
        <v>135</v>
      </c>
      <c r="B4" s="20" t="s">
        <v>127</v>
      </c>
      <c r="C4" s="21" t="s">
        <v>136</v>
      </c>
      <c r="D4" s="22" t="s">
        <v>137</v>
      </c>
      <c r="E4" s="26" t="s"/>
      <c r="F4" s="8" t="s"/>
      <c r="G4" s="24" t="s"/>
      <c r="H4" s="25" t="s">
        <v>138</v>
      </c>
      <c r="I4" s="25" t="s">
        <v>139</v>
      </c>
      <c r="J4" s="18" t="str">
        <f>="VOI_"&amp;A4</f>
        <v>VOI_P_Test_001-2</v>
      </c>
      <c r="K4" s="18" t="str">
        <f>=A4</f>
        <v>P_Test_001-2</v>
      </c>
      <c r="L4" s="13" t="str">
        <f>=IF(ISBLANK(F4),"","("&amp;""""&amp;SUBSTITUTE(F4,"
",""""&amp;","&amp;"""")&amp;""""&amp;")")</f>
        <v/>
      </c>
      <c r="M4" s="13" t="str">
        <f>=IF(ISBLANK(E4),"","("&amp;""""&amp;SUBSTITUTE(E4,"
",""""&amp;","&amp;"""")&amp;""""&amp;")")</f>
        <v/>
      </c>
    </row>
    <row r="5" spans="1:13">
      <c r="A5" s="19" t="s">
        <v>141</v>
      </c>
      <c r="B5" s="20" t="s">
        <v>127</v>
      </c>
      <c r="C5" s="21" t="s">
        <v>142</v>
      </c>
      <c r="D5" s="22" t="s">
        <v>143</v>
      </c>
      <c r="E5" s="8" t="s">
        <v>62</v>
      </c>
      <c r="F5" s="8" t="s"/>
      <c r="G5" s="24" t="s"/>
      <c r="H5" s="25" t="s">
        <v>143</v>
      </c>
      <c r="I5" s="25" t="s">
        <v>143</v>
      </c>
      <c r="J5" s="18" t="str">
        <f>="VOI_"&amp;A5</f>
        <v>VOI_P_Test_001-3</v>
      </c>
      <c r="K5" s="18" t="str">
        <f>=A5</f>
        <v>P_Test_001-3</v>
      </c>
      <c r="L5" s="13" t="str">
        <f>=IF(ISBLANK(F5),"","("&amp;""""&amp;SUBSTITUTE(F5,"
",""""&amp;","&amp;"""")&amp;""""&amp;")")</f>
        <v/>
      </c>
      <c r="M5" s="13" t="str">
        <f>=IF(ISBLANK(E5),"","("&amp;""""&amp;SUBSTITUTE(E5,"
",""""&amp;","&amp;"""")&amp;""""&amp;")")</f>
        <v>("剧情.CG# CG_Test_01")</v>
      </c>
    </row>
    <row r="6" spans="1:13">
      <c r="A6" s="19" t="s">
        <v>146</v>
      </c>
      <c r="B6" s="20" t="s">
        <v>127</v>
      </c>
      <c r="C6" s="21" t="s">
        <v>147</v>
      </c>
      <c r="D6" s="22" t="s">
        <v>148</v>
      </c>
      <c r="E6" s="27" t="s">
        <v>51</v>
      </c>
      <c r="F6" s="8" t="s"/>
      <c r="G6" s="24" t="s"/>
      <c r="H6" s="25" t="s">
        <v>149</v>
      </c>
      <c r="I6" s="25" t="s">
        <v>150</v>
      </c>
      <c r="J6" s="6" t="s"/>
      <c r="K6" s="6" t="str">
        <f>=A6</f>
        <v>P_Test_001-4</v>
      </c>
      <c r="L6" s="13" t="str">
        <f>=IF(ISBLANK(F6),"","("&amp;""""&amp;SUBSTITUTE(F6,"
",""""&amp;","&amp;"""")&amp;""""&amp;")")</f>
        <v/>
      </c>
      <c r="M6" s="13" t="str">
        <f>=IF(ISBLANK(E6),"","("&amp;""""&amp;SUBSTITUTE(E6,"
",""""&amp;","&amp;"""")&amp;""""&amp;")")</f>
        <v>("剧情.演出# CHA_西园寺雪.退出=0")</v>
      </c>
    </row>
    <row r="7" spans="1:13">
      <c r="A7" s="19" t="s">
        <v>152</v>
      </c>
      <c r="B7" s="20" t="s">
        <v>127</v>
      </c>
      <c r="C7" s="21" t="s">
        <v>142</v>
      </c>
      <c r="D7" s="22" t="s">
        <v>153</v>
      </c>
      <c r="E7" s="8" t="s"/>
      <c r="F7" s="8" t="s"/>
      <c r="G7" s="24" t="s"/>
      <c r="H7" s="25" t="s">
        <v>154</v>
      </c>
      <c r="I7" s="25" t="s">
        <v>155</v>
      </c>
      <c r="J7" s="18" t="str">
        <f>="VOI_"&amp;A7</f>
        <v>VOI_P_Test_001-5</v>
      </c>
      <c r="K7" s="18" t="str">
        <f>=A7</f>
        <v>P_Test_001-5</v>
      </c>
      <c r="L7" s="13" t="str">
        <f>=IF(ISBLANK(F7),"","("&amp;""""&amp;SUBSTITUTE(F7,"
",""""&amp;","&amp;"""")&amp;""""&amp;")")</f>
        <v/>
      </c>
      <c r="M7" s="13" t="str">
        <f>=IF(ISBLANK(E7),"","("&amp;""""&amp;SUBSTITUTE(E7,"
",""""&amp;","&amp;"""")&amp;""""&amp;")")</f>
        <v/>
      </c>
    </row>
    <row r="8" spans="1:13">
      <c r="A8" s="19" t="s">
        <v>157</v>
      </c>
      <c r="B8" s="20" t="s">
        <v>127</v>
      </c>
      <c r="C8" s="21" t="s">
        <v>128</v>
      </c>
      <c r="D8" s="22" t="s">
        <v>158</v>
      </c>
      <c r="E8" s="26" t="s"/>
      <c r="G8" s="24" t="s"/>
      <c r="H8" s="25" t="s">
        <v>159</v>
      </c>
      <c r="I8" s="25" t="s">
        <v>160</v>
      </c>
      <c r="J8" s="18" t="str">
        <f>="VOI_"&amp;A8</f>
        <v>VOI_P_Test_001-6</v>
      </c>
      <c r="K8" s="18" t="str">
        <f>=A8</f>
        <v>P_Test_001-6</v>
      </c>
      <c r="L8" s="13" t="str">
        <f>=IF(ISBLANK(F8),"","("&amp;""""&amp;SUBSTITUTE(F8,"
",""""&amp;","&amp;"""")&amp;""""&amp;")")</f>
        <v/>
      </c>
      <c r="M8" s="13" t="str">
        <f>=IF(ISBLANK(E8),"","("&amp;""""&amp;SUBSTITUTE(E8,"
",""""&amp;","&amp;"""")&amp;""""&amp;")")</f>
        <v/>
      </c>
    </row>
    <row r="9" spans="1:13">
      <c r="A9" s="19" t="s">
        <v>162</v>
      </c>
      <c r="B9" s="20" t="s">
        <v>127</v>
      </c>
      <c r="C9" s="21" t="s">
        <v>128</v>
      </c>
      <c r="D9" s="22" t="s">
        <v>163</v>
      </c>
      <c r="E9" s="23" t="s">
        <v>164</v>
      </c>
      <c r="F9" s="8" t="s"/>
      <c r="G9" s="24" t="s"/>
      <c r="H9" s="25" t="s">
        <v>165</v>
      </c>
      <c r="I9" s="25" t="s">
        <v>166</v>
      </c>
      <c r="J9" s="18" t="str">
        <f>="VOI_"&amp;A9</f>
        <v>VOI_P_Test_001-7</v>
      </c>
      <c r="K9" s="18" t="str">
        <f>=A9</f>
        <v>P_Test_001-7</v>
      </c>
      <c r="L9" s="13" t="str">
        <f>=IF(ISBLANK(F9),"","("&amp;""""&amp;SUBSTITUTE(F9,"
",""""&amp;","&amp;"""")&amp;""""&amp;")")</f>
        <v/>
      </c>
      <c r="M9" s="13" t="str">
        <f>=IF(ISBLANK(E9),"","("&amp;""""&amp;SUBSTITUTE(E9,"
",""""&amp;","&amp;"""")&amp;""""&amp;")")</f>
        <v>("剧情.演出# CHA_西园寺雪.进入=0","剧情.演出# CHA_影山菖蒲.退出=0")</v>
      </c>
    </row>
    <row r="10" spans="1:13">
      <c r="A10" s="19" t="s">
        <v>169</v>
      </c>
      <c r="B10" s="20" t="s">
        <v>127</v>
      </c>
      <c r="C10" s="21" t="s">
        <v>136</v>
      </c>
      <c r="D10" s="22" t="s">
        <v>170</v>
      </c>
      <c r="E10" s="8" t="s"/>
      <c r="F10" s="8" t="s"/>
      <c r="G10" s="24" t="s"/>
      <c r="H10" s="25" t="s">
        <v>171</v>
      </c>
      <c r="I10" s="25" t="s">
        <v>172</v>
      </c>
      <c r="J10" s="18" t="str">
        <f>="VOI_"&amp;A10</f>
        <v>VOI_P_Test_001-8</v>
      </c>
      <c r="K10" s="18" t="str">
        <f>=A10</f>
        <v>P_Test_001-8</v>
      </c>
      <c r="L10" s="13" t="str">
        <f>=IF(ISBLANK(F10),"","("&amp;""""&amp;SUBSTITUTE(F10,"
",""""&amp;","&amp;"""")&amp;""""&amp;")")</f>
        <v/>
      </c>
      <c r="M10" s="13" t="str">
        <f>=IF(ISBLANK(E10),"","("&amp;""""&amp;SUBSTITUTE(E10,"
",""""&amp;","&amp;"""")&amp;""""&amp;")")</f>
        <v/>
      </c>
    </row>
    <row r="11" spans="1:13">
      <c r="A11" s="19" t="s">
        <v>174</v>
      </c>
      <c r="B11" s="20" t="s">
        <v>127</v>
      </c>
      <c r="C11" s="21" t="s">
        <v>136</v>
      </c>
      <c r="D11" s="22" t="s">
        <v>175</v>
      </c>
      <c r="E11" s="8" t="s"/>
      <c r="F11" s="8" t="s"/>
      <c r="G11" s="24" t="s"/>
      <c r="H11" s="25" t="s">
        <v>176</v>
      </c>
      <c r="I11" s="25" t="s">
        <v>177</v>
      </c>
      <c r="J11" s="18" t="str">
        <f>="VOI_"&amp;A11</f>
        <v>VOI_P_Test_001-9</v>
      </c>
      <c r="K11" s="18" t="str">
        <f>=A11</f>
        <v>P_Test_001-9</v>
      </c>
      <c r="L11" s="13" t="str">
        <f>=IF(ISBLANK(F11),"","("&amp;""""&amp;SUBSTITUTE(F11,"
",""""&amp;","&amp;"""")&amp;""""&amp;")")</f>
        <v/>
      </c>
      <c r="M11" s="13" t="str">
        <f>=IF(ISBLANK(E11),"","("&amp;""""&amp;SUBSTITUTE(E11,"
",""""&amp;","&amp;"""")&amp;""""&amp;")")</f>
        <v/>
      </c>
    </row>
    <row r="12" spans="1:13">
      <c r="A12" s="19" t="s">
        <v>179</v>
      </c>
      <c r="B12" s="20" t="s">
        <v>127</v>
      </c>
      <c r="C12" s="21" t="s">
        <v>136</v>
      </c>
      <c r="D12" s="22" t="s">
        <v>180</v>
      </c>
      <c r="E12" s="23" t="s">
        <v>54</v>
      </c>
      <c r="F12" s="8" t="s"/>
      <c r="G12" s="24" t="s"/>
      <c r="H12" s="25" t="s">
        <v>181</v>
      </c>
      <c r="I12" s="25" t="s">
        <v>182</v>
      </c>
      <c r="J12" s="18" t="str">
        <f>="VOI_"&amp;A12</f>
        <v>VOI_P_Test_001-10</v>
      </c>
      <c r="K12" s="18" t="str">
        <f>=A12</f>
        <v>P_Test_001-10</v>
      </c>
      <c r="L12" s="13" t="str">
        <f>=IF(ISBLANK(F12),"","("&amp;""""&amp;SUBSTITUTE(F12,"
",""""&amp;","&amp;"""")&amp;""""&amp;")")</f>
        <v/>
      </c>
      <c r="M12" s="13" t="str">
        <f>=IF(ISBLANK(E12),"","("&amp;""""&amp;SUBSTITUTE(E12,"
",""""&amp;","&amp;"""")&amp;""""&amp;")")</f>
        <v>("剧情.演出# CHA_西园寺雪.表情=悲伤")</v>
      </c>
    </row>
    <row r="13" spans="1:13">
      <c r="A13" s="19" t="s">
        <v>185</v>
      </c>
      <c r="B13" s="20" t="s">
        <v>127</v>
      </c>
      <c r="C13" s="21" t="s">
        <v>142</v>
      </c>
      <c r="D13" s="22" t="s">
        <v>186</v>
      </c>
      <c r="E13" s="27" t="s">
        <v>187</v>
      </c>
      <c r="F13" s="8" t="s"/>
      <c r="G13" s="24" t="s"/>
      <c r="H13" s="25" t="s">
        <v>188</v>
      </c>
      <c r="I13" s="25" t="s">
        <v>189</v>
      </c>
      <c r="J13" s="18" t="str">
        <f>="VOI_"&amp;A13</f>
        <v>VOI_P_Test_001-11</v>
      </c>
      <c r="K13" s="18" t="str">
        <f>=A13</f>
        <v>P_Test_001-11</v>
      </c>
      <c r="L13" s="13" t="str">
        <f>=IF(ISBLANK(F13),"","("&amp;""""&amp;SUBSTITUTE(F13,"
",""""&amp;","&amp;"""")&amp;""""&amp;")")</f>
        <v/>
      </c>
      <c r="M13" s="13" t="str">
        <f>=IF(ISBLANK(E13),"","("&amp;""""&amp;SUBSTITUTE(E13,"
",""""&amp;","&amp;"""")&amp;""""&amp;")")</f>
        <v>("剧情.演出# CHA_影山菖蒲.进入=0")</v>
      </c>
    </row>
    <row r="14" spans="1:13">
      <c r="A14" s="19" t="s">
        <v>192</v>
      </c>
      <c r="B14" s="20" t="s">
        <v>127</v>
      </c>
      <c r="C14" s="21" t="s">
        <v>142</v>
      </c>
      <c r="D14" s="22" t="s">
        <v>193</v>
      </c>
      <c r="E14" s="8" t="s"/>
      <c r="F14" s="8" t="s"/>
      <c r="G14" s="24" t="s"/>
      <c r="H14" s="25" t="s">
        <v>194</v>
      </c>
      <c r="I14" s="25" t="s">
        <v>195</v>
      </c>
      <c r="J14" s="18" t="str">
        <f>="VOI_"&amp;A14</f>
        <v>VOI_P_Test_001-12</v>
      </c>
      <c r="K14" s="18" t="str">
        <f>=A14</f>
        <v>P_Test_001-12</v>
      </c>
      <c r="L14" s="13" t="str">
        <f>=IF(ISBLANK(F14),"","("&amp;""""&amp;SUBSTITUTE(F14,"
",""""&amp;","&amp;"""")&amp;""""&amp;")")</f>
        <v/>
      </c>
      <c r="M14" s="13" t="str">
        <f>=IF(ISBLANK(E14),"","("&amp;""""&amp;SUBSTITUTE(E14,"
",""""&amp;","&amp;"""")&amp;""""&amp;")")</f>
        <v/>
      </c>
    </row>
    <row r="15" spans="1:13">
      <c r="A15" s="19" t="s">
        <v>197</v>
      </c>
      <c r="B15" s="20" t="s">
        <v>127</v>
      </c>
      <c r="C15" s="21" t="s">
        <v>128</v>
      </c>
      <c r="D15" s="22" t="s">
        <v>198</v>
      </c>
      <c r="F15" s="22" t="s">
        <v>199</v>
      </c>
      <c r="G15" s="24" t="s"/>
      <c r="H15" s="25" t="s">
        <v>200</v>
      </c>
      <c r="I15" s="25" t="s">
        <v>201</v>
      </c>
      <c r="J15" s="18" t="str">
        <f>="VOI_"&amp;A15</f>
        <v>VOI_P_Test_001-13</v>
      </c>
      <c r="K15" s="18" t="str">
        <f>=A15</f>
        <v>P_Test_001-13</v>
      </c>
      <c r="L15" s="13" t="str">
        <f>=IF(ISBLANK(F15),"","("&amp;""""&amp;SUBSTITUTE(F15,"
",""""&amp;","&amp;"""")&amp;""""&amp;")")</f>
        <v>("OPT_Test_001-A = P_Test_002-1","OPT_Test_001-B =")</v>
      </c>
      <c r="M15" s="13" t="str">
        <f>=IF(ISBLANK(E15),"","("&amp;""""&amp;SUBSTITUTE(E15,"
",""""&amp;","&amp;"""")&amp;""""&amp;")")</f>
        <v/>
      </c>
    </row>
    <row r="16" spans="1:13">
      <c r="A16" s="17" t="s"/>
      <c r="B16" s="28" t="s"/>
      <c r="C16" s="16" t="s"/>
      <c r="D16" s="22" t="s"/>
      <c r="E16" s="10" t="s"/>
      <c r="F16" s="17" t="s"/>
      <c r="G16" s="29" t="s"/>
      <c r="H16" s="22" t="s"/>
      <c r="I16" s="22" t="s"/>
      <c r="J16" s="18" t="str">
        <f>="VOI_"&amp;A16</f>
        <v>VOI_</v>
      </c>
      <c r="K16" s="18">
        <f>=A16</f>
        <v>0</v>
      </c>
      <c r="L16" s="13" t="str">
        <f>=IF(ISBLANK(F16),"","("&amp;""""&amp;SUBSTITUTE(F16,"
",""""&amp;","&amp;"""")&amp;""""&amp;")")</f>
        <v/>
      </c>
      <c r="M16" s="13" t="str">
        <f>=IF(ISBLANK(E16),"","("&amp;""""&amp;SUBSTITUTE(E16,"
",""""&amp;","&amp;"""")&amp;""""&amp;")")</f>
        <v/>
      </c>
    </row>
    <row r="17" spans="1:13">
      <c r="A17" s="19" t="s">
        <v>204</v>
      </c>
      <c r="B17" s="28" t="s">
        <v>127</v>
      </c>
      <c r="C17" s="16" t="s">
        <v>136</v>
      </c>
      <c r="D17" s="30" t="s">
        <v>205</v>
      </c>
      <c r="E17" s="11" t="s">
        <v>206</v>
      </c>
      <c r="F17" s="17" t="s"/>
      <c r="G17" s="29" t="s"/>
      <c r="H17" s="25" t="s">
        <v>207</v>
      </c>
      <c r="I17" s="25" t="s">
        <v>208</v>
      </c>
      <c r="J17" s="18" t="str">
        <f>="VOI_"&amp;A17</f>
        <v>VOI_P_Test_002-1</v>
      </c>
      <c r="K17" s="18" t="str">
        <f>=A17</f>
        <v>P_Test_002-1</v>
      </c>
      <c r="L17" s="13" t="str">
        <f>=IF(ISBLANK(F17),"","("&amp;""""&amp;SUBSTITUTE(F17,"
",""""&amp;","&amp;"""")&amp;""""&amp;")")</f>
        <v/>
      </c>
      <c r="M17" s="13" t="str">
        <f>=IF(ISBLANK(E17),"","("&amp;""""&amp;SUBSTITUTE(E17,"
",""""&amp;","&amp;"""")&amp;""""&amp;")")</f>
        <v>("剧情.演出# CHA_西园寺雪.表情=害羞","背包# Like_西园寺雪+1")</v>
      </c>
    </row>
    <row r="18" spans="1:13">
      <c r="A18" s="19" t="s">
        <v>211</v>
      </c>
      <c r="B18" s="28" t="s">
        <v>127</v>
      </c>
      <c r="C18" s="21" t="s">
        <v>128</v>
      </c>
      <c r="D18" s="30" t="s">
        <v>212</v>
      </c>
      <c r="E18" s="8" t="s"/>
      <c r="F18" s="8" t="s"/>
      <c r="G18" s="24" t="s"/>
      <c r="H18" s="25" t="s">
        <v>213</v>
      </c>
      <c r="I18" s="25" t="s">
        <v>214</v>
      </c>
      <c r="J18" s="18" t="str">
        <f>="VOI_"&amp;A18</f>
        <v>VOI_P_Test_002-2</v>
      </c>
      <c r="K18" s="18" t="str">
        <f>=A18</f>
        <v>P_Test_002-2</v>
      </c>
      <c r="L18" s="13" t="str">
        <f>=IF(ISBLANK(F18),"","("&amp;""""&amp;SUBSTITUTE(F18,"
",""""&amp;","&amp;"""")&amp;""""&amp;")")</f>
        <v/>
      </c>
      <c r="M18" s="13" t="str">
        <f>=IF(ISBLANK(E18),"","("&amp;""""&amp;SUBSTITUTE(E18,"
",""""&amp;","&amp;"""")&amp;""""&amp;")")</f>
        <v/>
      </c>
    </row>
    <row r="19" spans="1:13">
      <c r="A19" s="19" t="s">
        <v>216</v>
      </c>
      <c r="B19" s="28" t="s">
        <v>127</v>
      </c>
      <c r="C19" s="21" t="s">
        <v>142</v>
      </c>
      <c r="D19" s="30" t="s">
        <v>217</v>
      </c>
      <c r="E19" s="19" t="s"/>
      <c r="F19" s="8" t="s"/>
      <c r="G19" s="24" t="s"/>
      <c r="H19" s="25" t="s">
        <v>218</v>
      </c>
      <c r="I19" s="25" t="s">
        <v>219</v>
      </c>
      <c r="J19" s="18" t="str">
        <f>="VOI_"&amp;A19</f>
        <v>VOI_P_Test_002-3</v>
      </c>
      <c r="K19" s="18" t="str">
        <f>=A19</f>
        <v>P_Test_002-3</v>
      </c>
      <c r="L19" s="13" t="str">
        <f>=IF(ISBLANK(F19),"","("&amp;""""&amp;SUBSTITUTE(F19,"
",""""&amp;","&amp;"""")&amp;""""&amp;")")</f>
        <v/>
      </c>
      <c r="M19" s="13" t="str">
        <f>=IF(ISBLANK(E19),"","("&amp;""""&amp;SUBSTITUTE(E19,"
",""""&amp;","&amp;"""")&amp;""""&amp;")")</f>
        <v/>
      </c>
    </row>
    <row r="20" spans="1:13">
      <c r="A20" s="19" t="s">
        <v>221</v>
      </c>
      <c r="B20" s="28" t="s">
        <v>127</v>
      </c>
      <c r="C20" s="21" t="s">
        <v>136</v>
      </c>
      <c r="D20" s="30" t="s">
        <v>222</v>
      </c>
      <c r="E20" s="31" t="s">
        <v>223</v>
      </c>
      <c r="F20" s="8" t="s"/>
      <c r="G20" s="24" t="s"/>
      <c r="H20" s="25" t="s">
        <v>224</v>
      </c>
      <c r="I20" s="25" t="s">
        <v>225</v>
      </c>
      <c r="J20" s="18" t="str">
        <f>="VOI_"&amp;A20</f>
        <v>VOI_P_Test_002-4</v>
      </c>
      <c r="K20" s="18" t="str">
        <f>=A20</f>
        <v>P_Test_002-4</v>
      </c>
      <c r="L20" s="13" t="str">
        <f>=IF(ISBLANK(F20),"","("&amp;""""&amp;SUBSTITUTE(F20,"
",""""&amp;","&amp;"""")&amp;""""&amp;")")</f>
        <v/>
      </c>
      <c r="M20" s="13" t="str">
        <f>=IF(ISBLANK(E20),"","("&amp;""""&amp;SUBSTITUTE(E20,"
",""""&amp;","&amp;"""")&amp;""""&amp;")")</f>
        <v>("剧情.演出# CHA_西园寺雪.表情=默认")</v>
      </c>
    </row>
    <row r="21" spans="1:13">
      <c r="A21" s="19" t="s">
        <v>228</v>
      </c>
      <c r="B21" s="28" t="s">
        <v>127</v>
      </c>
      <c r="C21" s="21" t="s">
        <v>142</v>
      </c>
      <c r="D21" s="30" t="s">
        <v>229</v>
      </c>
      <c r="E21" s="32" t="s"/>
      <c r="F21" s="8" t="s"/>
      <c r="G21" s="24" t="s"/>
      <c r="H21" s="25" t="s">
        <v>230</v>
      </c>
      <c r="I21" s="25" t="s">
        <v>231</v>
      </c>
      <c r="J21" s="18" t="str">
        <f>="VOI_"&amp;A21</f>
        <v>VOI_P_Test_002-5</v>
      </c>
      <c r="K21" s="18" t="str">
        <f>=A21</f>
        <v>P_Test_002-5</v>
      </c>
      <c r="L21" s="13" t="str">
        <f>=IF(ISBLANK(F21),"","("&amp;""""&amp;SUBSTITUTE(F21,"
",""""&amp;","&amp;"""")&amp;""""&amp;")")</f>
        <v/>
      </c>
      <c r="M21" s="13" t="str">
        <f>=IF(ISBLANK(E21),"","("&amp;""""&amp;SUBSTITUTE(E21,"
",""""&amp;","&amp;"""")&amp;""""&amp;")")</f>
        <v/>
      </c>
    </row>
    <row r="22" spans="1:13">
      <c r="A22" s="19" t="s">
        <v>233</v>
      </c>
      <c r="B22" s="28" t="s">
        <v>127</v>
      </c>
      <c r="C22" s="21" t="s">
        <v>136</v>
      </c>
      <c r="D22" s="30" t="s">
        <v>234</v>
      </c>
      <c r="E22" s="32" t="s"/>
      <c r="F22" s="8" t="s"/>
      <c r="G22" s="24" t="s"/>
      <c r="H22" s="25" t="s">
        <v>235</v>
      </c>
      <c r="I22" s="25" t="s">
        <v>236</v>
      </c>
      <c r="J22" s="18" t="str">
        <f>="VOI_"&amp;A22</f>
        <v>VOI_P_Test_002-6</v>
      </c>
      <c r="K22" s="18" t="str">
        <f>=A22</f>
        <v>P_Test_002-6</v>
      </c>
      <c r="L22" s="13" t="str">
        <f>=IF(ISBLANK(F22),"","("&amp;""""&amp;SUBSTITUTE(F22,"
",""""&amp;","&amp;"""")&amp;""""&amp;")")</f>
        <v/>
      </c>
      <c r="M22" s="13" t="str">
        <f>=IF(ISBLANK(E22),"","("&amp;""""&amp;SUBSTITUTE(E22,"
",""""&amp;","&amp;"""")&amp;""""&amp;")")</f>
        <v/>
      </c>
    </row>
    <row r="23" spans="1:13">
      <c r="A23" s="19" t="s">
        <v>238</v>
      </c>
      <c r="B23" s="28" t="s">
        <v>127</v>
      </c>
      <c r="C23" s="21" t="s">
        <v>142</v>
      </c>
      <c r="D23" s="30" t="s">
        <v>239</v>
      </c>
      <c r="E23" s="31" t="s">
        <v>240</v>
      </c>
      <c r="F23" s="8" t="s"/>
      <c r="G23" s="24" t="s"/>
      <c r="H23" s="25" t="s">
        <v>241</v>
      </c>
      <c r="I23" s="25" t="s">
        <v>242</v>
      </c>
      <c r="J23" s="18" t="str">
        <f>="VOI_"&amp;A23</f>
        <v>VOI_P_Test_002-7</v>
      </c>
      <c r="K23" s="18" t="str">
        <f>=A23</f>
        <v>P_Test_002-7</v>
      </c>
      <c r="L23" s="13" t="str">
        <f>=IF(ISBLANK(F23),"","("&amp;""""&amp;SUBSTITUTE(F23,"
",""""&amp;","&amp;"""")&amp;""""&amp;")")</f>
        <v/>
      </c>
      <c r="M23" s="13" t="str">
        <f>=IF(ISBLANK(E23),"","("&amp;""""&amp;SUBSTITUTE(E23,"
",""""&amp;","&amp;"""")&amp;""""&amp;")")</f>
        <v>("剧情.演出# CHA_影山菖蒲.表情=开心")</v>
      </c>
    </row>
    <row r="24" spans="1:13">
      <c r="A24" s="19" t="s">
        <v>245</v>
      </c>
      <c r="B24" s="28" t="s">
        <v>127</v>
      </c>
      <c r="C24" s="21" t="s">
        <v>136</v>
      </c>
      <c r="D24" s="30" t="s">
        <v>246</v>
      </c>
      <c r="E24" s="32" t="s"/>
      <c r="F24" s="8" t="s"/>
      <c r="G24" s="24" t="s"/>
      <c r="H24" s="25" t="s">
        <v>247</v>
      </c>
      <c r="I24" s="25" t="s">
        <v>248</v>
      </c>
      <c r="J24" s="18" t="str">
        <f>="VOI_"&amp;A24</f>
        <v>VOI_P_Test_002-8</v>
      </c>
      <c r="K24" s="18" t="str">
        <f>=A24</f>
        <v>P_Test_002-8</v>
      </c>
      <c r="L24" s="13" t="str">
        <f>=IF(ISBLANK(F24),"","("&amp;""""&amp;SUBSTITUTE(F24,"
",""""&amp;","&amp;"""")&amp;""""&amp;")")</f>
        <v/>
      </c>
      <c r="M24" s="13" t="str">
        <f>=IF(ISBLANK(E24),"","("&amp;""""&amp;SUBSTITUTE(E24,"
",""""&amp;","&amp;"""")&amp;""""&amp;")")</f>
        <v/>
      </c>
    </row>
    <row r="25" spans="1:13">
      <c r="A25" s="19" t="s">
        <v>250</v>
      </c>
      <c r="B25" s="28" t="s">
        <v>127</v>
      </c>
      <c r="C25" s="21" t="s">
        <v>128</v>
      </c>
      <c r="D25" s="30" t="s">
        <v>251</v>
      </c>
      <c r="E25" s="32" t="s"/>
      <c r="F25" s="8" t="s"/>
      <c r="G25" s="24" t="s"/>
      <c r="H25" s="25" t="s">
        <v>252</v>
      </c>
      <c r="I25" s="25" t="s">
        <v>253</v>
      </c>
      <c r="J25" s="18" t="str">
        <f>="VOI_"&amp;A25</f>
        <v>VOI_P_Test_002-9</v>
      </c>
      <c r="K25" s="18" t="str">
        <f>=A25</f>
        <v>P_Test_002-9</v>
      </c>
      <c r="L25" s="13" t="str">
        <f>=IF(ISBLANK(F25),"","("&amp;""""&amp;SUBSTITUTE(F25,"
",""""&amp;","&amp;"""")&amp;""""&amp;")")</f>
        <v/>
      </c>
      <c r="M25" s="13" t="str">
        <f>=IF(ISBLANK(E25),"","("&amp;""""&amp;SUBSTITUTE(E25,"
",""""&amp;","&amp;"""")&amp;""""&amp;")")</f>
        <v/>
      </c>
    </row>
    <row r="26" spans="1:13">
      <c r="A26" s="19" t="s">
        <v>255</v>
      </c>
      <c r="B26" s="28" t="s">
        <v>127</v>
      </c>
      <c r="C26" s="21" t="s">
        <v>142</v>
      </c>
      <c r="D26" s="30" t="s">
        <v>256</v>
      </c>
      <c r="E26" s="31" t="s">
        <v>257</v>
      </c>
      <c r="F26" s="22" t="s">
        <v>258</v>
      </c>
      <c r="G26" s="24" t="s"/>
      <c r="H26" s="25" t="s">
        <v>259</v>
      </c>
      <c r="I26" s="25" t="s">
        <v>260</v>
      </c>
      <c r="J26" s="18" t="str">
        <f>="VOI_"&amp;A26</f>
        <v>VOI_P_Test_002-10</v>
      </c>
      <c r="K26" s="18" t="str">
        <f>=A26</f>
        <v>P_Test_002-10</v>
      </c>
      <c r="L26" s="13" t="str">
        <f>=IF(ISBLANK(F26),"","("&amp;""""&amp;SUBSTITUTE(F26,"
",""""&amp;","&amp;"""")&amp;""""&amp;")")</f>
        <v>("OPT_Test_002-A = P_Test_003-1","OPT_Test_002-B =")</v>
      </c>
      <c r="M26" s="13" t="str">
        <f>=IF(ISBLANK(E26),"","("&amp;""""&amp;SUBSTITUTE(E26,"
",""""&amp;","&amp;"""")&amp;""""&amp;")")</f>
        <v>("剧情.演出# CHA_影山菖蒲.表情=害羞")</v>
      </c>
    </row>
    <row r="27" spans="1:13">
      <c r="A27" s="8" t="s"/>
      <c r="B27" s="20" t="s"/>
      <c r="C27" s="24" t="s"/>
      <c r="D27" s="22" t="s"/>
      <c r="E27" s="10" t="s"/>
      <c r="F27" s="10" t="s"/>
      <c r="G27" s="24" t="s"/>
      <c r="H27" s="22" t="s"/>
      <c r="I27" s="22" t="s"/>
      <c r="J27" s="18" t="str">
        <f>="VOI_"&amp;A27</f>
        <v>VOI_</v>
      </c>
      <c r="K27" s="18">
        <f>=A27</f>
        <v>0</v>
      </c>
      <c r="L27" s="13" t="str">
        <f>=IF(ISBLANK(F27),"","("&amp;""""&amp;SUBSTITUTE(F27,"
",""""&amp;","&amp;"""")&amp;""""&amp;")")</f>
        <v/>
      </c>
      <c r="M27" s="13" t="str">
        <f>=IF(ISBLANK(E27),"","("&amp;""""&amp;SUBSTITUTE(E27,"
",""""&amp;","&amp;"""")&amp;""""&amp;")")</f>
        <v/>
      </c>
    </row>
    <row r="28" spans="1:13">
      <c r="A28" s="8" t="s">
        <v>264</v>
      </c>
      <c r="B28" s="20" t="s">
        <v>127</v>
      </c>
      <c r="C28" s="21" t="s">
        <v>142</v>
      </c>
      <c r="D28" s="22" t="s">
        <v>265</v>
      </c>
      <c r="E28" s="10" t="s">
        <v>266</v>
      </c>
      <c r="F28" s="17" t="s"/>
      <c r="G28" s="24" t="s"/>
      <c r="H28" s="22" t="s"/>
      <c r="I28" s="22" t="s"/>
      <c r="J28" s="18" t="str">
        <f>="VOI_"&amp;A28</f>
        <v>VOI_P_Test_003-1</v>
      </c>
      <c r="K28" s="18" t="str">
        <f>=A28</f>
        <v>P_Test_003-1</v>
      </c>
      <c r="L28" s="13" t="str">
        <f>=IF(ISBLANK(F28),"","("&amp;""""&amp;SUBSTITUTE(F28,"
",""""&amp;","&amp;"""")&amp;""""&amp;")")</f>
        <v/>
      </c>
      <c r="M28" s="13" t="str">
        <f>=IF(ISBLANK(E28),"","("&amp;""""&amp;SUBSTITUTE(E28,"
",""""&amp;","&amp;"""")&amp;""""&amp;")")</f>
        <v>("背包# Like_影山菖蒲+1")</v>
      </c>
    </row>
    <row r="29" spans="1:13">
      <c r="A29" s="8" t="s"/>
      <c r="B29" s="20" t="s"/>
      <c r="C29" s="24" t="s"/>
      <c r="D29" s="22" t="s"/>
      <c r="E29" s="8" t="s"/>
      <c r="F29" s="8" t="s"/>
      <c r="G29" s="24" t="s"/>
      <c r="H29" s="22" t="s"/>
      <c r="I29" s="22" t="s"/>
      <c r="J29" s="18" t="str">
        <f>="VOI_"&amp;A29</f>
        <v>VOI_</v>
      </c>
      <c r="K29" s="18">
        <f>=A29</f>
        <v>0</v>
      </c>
      <c r="L29" s="13" t="str">
        <f>=IF(ISBLANK(F29),"","("&amp;""""&amp;SUBSTITUTE(F29,"
",""""&amp;","&amp;"""")&amp;""""&amp;")")</f>
        <v/>
      </c>
      <c r="M29" s="13" t="str">
        <f>=IF(ISBLANK(E29),"","("&amp;""""&amp;SUBSTITUTE(E29,"
",""""&amp;","&amp;"""")&amp;""""&amp;")")</f>
        <v/>
      </c>
    </row>
    <row r="30" spans="1:13">
      <c r="A30" s="8" t="s"/>
      <c r="B30" s="20" t="s"/>
      <c r="C30" s="24" t="s"/>
      <c r="D30" s="22" t="s"/>
      <c r="E30" s="8" t="s"/>
      <c r="F30" s="8" t="s"/>
      <c r="G30" s="24" t="s"/>
      <c r="H30" s="22" t="s"/>
      <c r="I30" s="22" t="s"/>
      <c r="J30" s="18" t="str">
        <f>="VOI_"&amp;A30</f>
        <v>VOI_</v>
      </c>
      <c r="K30" s="18">
        <f>=A30</f>
        <v>0</v>
      </c>
      <c r="L30" s="13" t="str">
        <f>=IF(ISBLANK(F30),"","("&amp;""""&amp;SUBSTITUTE(F30,"
",""""&amp;","&amp;"""")&amp;""""&amp;")")</f>
        <v/>
      </c>
      <c r="M30" s="13" t="str">
        <f>=IF(ISBLANK(E30),"","("&amp;""""&amp;SUBSTITUTE(E30,"
",""""&amp;","&amp;"""")&amp;""""&amp;")")</f>
        <v/>
      </c>
    </row>
    <row r="31" spans="1:13">
      <c r="A31" s="8" t="s"/>
      <c r="B31" s="20" t="s"/>
      <c r="C31" s="24" t="s"/>
      <c r="D31" s="22" t="s"/>
      <c r="E31" s="8" t="s"/>
      <c r="F31" s="8" t="s"/>
      <c r="G31" s="24" t="s"/>
      <c r="H31" s="22" t="s"/>
      <c r="I31" s="22" t="s"/>
      <c r="J31" s="18" t="str">
        <f>="VOI_"&amp;A31</f>
        <v>VOI_</v>
      </c>
      <c r="K31" s="18">
        <f>=A31</f>
        <v>0</v>
      </c>
      <c r="L31" s="13" t="str">
        <f>=IF(ISBLANK(F31),"","("&amp;""""&amp;SUBSTITUTE(F31,"
",""""&amp;","&amp;"""")&amp;""""&amp;")")</f>
        <v/>
      </c>
      <c r="M31" s="13" t="str">
        <f>=IF(ISBLANK(E31),"","("&amp;""""&amp;SUBSTITUTE(E31,"
",""""&amp;","&amp;"""")&amp;""""&amp;")")</f>
        <v/>
      </c>
    </row>
    <row r="32" spans="1:13">
      <c r="A32" s="8" t="s"/>
      <c r="B32" s="20" t="s"/>
      <c r="C32" s="24" t="s"/>
      <c r="D32" s="22" t="s"/>
      <c r="E32" s="8" t="s"/>
      <c r="F32" s="8" t="s"/>
      <c r="G32" s="24" t="s"/>
      <c r="H32" s="22" t="s"/>
      <c r="I32" s="22" t="s"/>
      <c r="J32" s="18" t="str">
        <f>="VOI_"&amp;A32</f>
        <v>VOI_</v>
      </c>
      <c r="K32" s="18">
        <f>=A32</f>
        <v>0</v>
      </c>
      <c r="L32" s="13" t="str">
        <f>=IF(ISBLANK(F32),"","("&amp;""""&amp;SUBSTITUTE(F32,"
",""""&amp;","&amp;"""")&amp;""""&amp;")")</f>
        <v/>
      </c>
      <c r="M32" s="13" t="str">
        <f>=IF(ISBLANK(E32),"","("&amp;""""&amp;SUBSTITUTE(E32,"
",""""&amp;","&amp;"""")&amp;""""&amp;")")</f>
        <v/>
      </c>
    </row>
    <row r="33" spans="1:13">
      <c r="A33" s="8" t="s"/>
      <c r="B33" s="20" t="s"/>
      <c r="C33" s="24" t="s"/>
      <c r="D33" s="22" t="s"/>
      <c r="E33" s="8" t="s"/>
      <c r="F33" s="8" t="s"/>
      <c r="G33" s="24" t="s"/>
      <c r="H33" s="22" t="s"/>
      <c r="I33" s="22" t="s"/>
      <c r="J33" s="18" t="str">
        <f>="VOI_"&amp;A33</f>
        <v>VOI_</v>
      </c>
      <c r="K33" s="18">
        <f>=A33</f>
        <v>0</v>
      </c>
      <c r="L33" s="13" t="str">
        <f>=IF(ISBLANK(F33),"","("&amp;""""&amp;SUBSTITUTE(F33,"
",""""&amp;","&amp;"""")&amp;""""&amp;")")</f>
        <v/>
      </c>
      <c r="M33" s="13" t="str">
        <f>=IF(ISBLANK(E33),"","("&amp;""""&amp;SUBSTITUTE(E33,"
",""""&amp;","&amp;"""")&amp;""""&amp;")")</f>
        <v/>
      </c>
    </row>
    <row r="34" spans="1:13">
      <c r="A34" s="8" t="s"/>
      <c r="B34" s="20" t="s"/>
      <c r="C34" s="24" t="s"/>
      <c r="D34" s="22" t="s"/>
      <c r="E34" s="8" t="s"/>
      <c r="F34" s="8" t="s"/>
      <c r="G34" s="24" t="s"/>
      <c r="H34" s="22" t="s"/>
      <c r="I34" s="22" t="s"/>
      <c r="J34" s="18" t="str">
        <f>="VOI_"&amp;A34</f>
        <v>VOI_</v>
      </c>
      <c r="K34" s="18">
        <f>=A34</f>
        <v>0</v>
      </c>
      <c r="L34" s="13" t="str">
        <f>=IF(ISBLANK(F34),"","("&amp;""""&amp;SUBSTITUTE(F34,"
",""""&amp;","&amp;"""")&amp;""""&amp;")")</f>
        <v/>
      </c>
      <c r="M34" s="13" t="str">
        <f>=IF(ISBLANK(E34),"","("&amp;""""&amp;SUBSTITUTE(E34,"
",""""&amp;","&amp;"""")&amp;""""&amp;")")</f>
        <v/>
      </c>
    </row>
    <row r="35" spans="1:13">
      <c r="A35" s="8" t="s"/>
      <c r="B35" s="20" t="s"/>
      <c r="C35" s="24" t="s"/>
      <c r="D35" s="22" t="s"/>
      <c r="E35" s="8" t="s"/>
      <c r="F35" s="8" t="s"/>
      <c r="G35" s="24" t="s"/>
      <c r="H35" s="22" t="s"/>
      <c r="I35" s="22" t="s"/>
      <c r="J35" s="18" t="str">
        <f>="VOI_"&amp;A35</f>
        <v>VOI_</v>
      </c>
      <c r="K35" s="18">
        <f>=A35</f>
        <v>0</v>
      </c>
      <c r="L35" s="13" t="str">
        <f>=IF(ISBLANK(F35),"","("&amp;""""&amp;SUBSTITUTE(F35,"
",""""&amp;","&amp;"""")&amp;""""&amp;")")</f>
        <v/>
      </c>
      <c r="M35" s="13" t="str">
        <f>=IF(ISBLANK(E35),"","("&amp;""""&amp;SUBSTITUTE(E35,"
",""""&amp;","&amp;"""")&amp;""""&amp;")")</f>
        <v/>
      </c>
    </row>
    <row r="36" spans="1:13">
      <c r="A36" s="8" t="s"/>
      <c r="B36" s="20" t="s"/>
      <c r="C36" s="24" t="s"/>
      <c r="D36" s="22" t="s"/>
      <c r="E36" s="8" t="s"/>
      <c r="F36" s="8" t="s"/>
      <c r="G36" s="24" t="s"/>
      <c r="H36" s="22" t="s"/>
      <c r="I36" s="22" t="s"/>
      <c r="J36" s="18" t="str">
        <f>="VOI_"&amp;A36</f>
        <v>VOI_</v>
      </c>
      <c r="K36" s="18">
        <f>=A36</f>
        <v>0</v>
      </c>
      <c r="L36" s="13" t="str">
        <f>=IF(ISBLANK(F36),"","("&amp;""""&amp;SUBSTITUTE(F36,"
",""""&amp;","&amp;"""")&amp;""""&amp;")")</f>
        <v/>
      </c>
      <c r="M36" s="13" t="str">
        <f>=IF(ISBLANK(E36),"","("&amp;""""&amp;SUBSTITUTE(E36,"
",""""&amp;","&amp;"""")&amp;""""&amp;")")</f>
        <v/>
      </c>
    </row>
    <row r="37" spans="1:13">
      <c r="A37" s="8" t="s"/>
      <c r="B37" s="20" t="s"/>
      <c r="C37" s="24" t="s"/>
      <c r="D37" s="22" t="s"/>
      <c r="E37" s="8" t="s"/>
      <c r="F37" s="8" t="s"/>
      <c r="G37" s="24" t="s"/>
      <c r="H37" s="22" t="s"/>
      <c r="I37" s="22" t="s"/>
      <c r="J37" s="18" t="str">
        <f>="VOI_"&amp;A37</f>
        <v>VOI_</v>
      </c>
      <c r="K37" s="18">
        <f>=A37</f>
        <v>0</v>
      </c>
      <c r="L37" s="13" t="str">
        <f>=IF(ISBLANK(F37),"","("&amp;""""&amp;SUBSTITUTE(F37,"
",""""&amp;","&amp;"""")&amp;""""&amp;")")</f>
        <v/>
      </c>
      <c r="M37" s="13" t="str">
        <f>=IF(ISBLANK(E37),"","("&amp;""""&amp;SUBSTITUTE(E37,"
",""""&amp;","&amp;"""")&amp;""""&amp;")")</f>
        <v/>
      </c>
    </row>
    <row r="38" spans="1:13">
      <c r="A38" s="8" t="s"/>
      <c r="B38" s="20" t="s"/>
      <c r="C38" s="24" t="s"/>
      <c r="D38" s="22" t="s"/>
      <c r="E38" s="8" t="s"/>
      <c r="F38" s="8" t="s"/>
      <c r="G38" s="24" t="s"/>
      <c r="H38" s="22" t="s"/>
      <c r="I38" s="22" t="s"/>
      <c r="J38" s="18" t="str">
        <f>="VOI_"&amp;A38</f>
        <v>VOI_</v>
      </c>
      <c r="K38" s="18">
        <f>=A38</f>
        <v>0</v>
      </c>
      <c r="L38" s="13" t="str">
        <f>=IF(ISBLANK(F38),"","("&amp;""""&amp;SUBSTITUTE(F38,"
",""""&amp;","&amp;"""")&amp;""""&amp;")")</f>
        <v/>
      </c>
      <c r="M38" s="13" t="str">
        <f>=IF(ISBLANK(E38),"","("&amp;""""&amp;SUBSTITUTE(E38,"
",""""&amp;","&amp;"""")&amp;""""&amp;")")</f>
        <v/>
      </c>
    </row>
    <row r="39" spans="1:13">
      <c r="A39" s="8" t="s"/>
      <c r="B39" s="20" t="s"/>
      <c r="C39" s="24" t="s"/>
      <c r="D39" s="22" t="s"/>
      <c r="E39" s="8" t="s"/>
      <c r="F39" s="8" t="s"/>
      <c r="G39" s="24" t="s"/>
      <c r="H39" s="22" t="s"/>
      <c r="I39" s="22" t="s"/>
      <c r="J39" s="18" t="str">
        <f>="VOI_"&amp;A39</f>
        <v>VOI_</v>
      </c>
      <c r="K39" s="18">
        <f>=A39</f>
        <v>0</v>
      </c>
      <c r="L39" s="13" t="str">
        <f>=IF(ISBLANK(F39),"","("&amp;""""&amp;SUBSTITUTE(F39,"
",""""&amp;","&amp;"""")&amp;""""&amp;")")</f>
        <v/>
      </c>
      <c r="M39" s="13" t="str">
        <f>=IF(ISBLANK(E39),"","("&amp;""""&amp;SUBSTITUTE(E39,"
",""""&amp;","&amp;"""")&amp;""""&amp;")")</f>
        <v/>
      </c>
    </row>
    <row r="40" spans="1:13">
      <c r="A40" s="8" t="s"/>
      <c r="B40" s="20" t="s"/>
      <c r="C40" s="24" t="s"/>
      <c r="D40" s="22" t="s"/>
      <c r="E40" s="8" t="s"/>
      <c r="F40" s="8" t="s"/>
      <c r="G40" s="24" t="s"/>
      <c r="H40" s="22" t="s"/>
      <c r="I40" s="22" t="s"/>
      <c r="J40" s="18" t="str">
        <f>="VOI_"&amp;A40</f>
        <v>VOI_</v>
      </c>
      <c r="K40" s="18">
        <f>=A40</f>
        <v>0</v>
      </c>
      <c r="L40" s="13" t="str">
        <f>=IF(ISBLANK(F40),"","("&amp;""""&amp;SUBSTITUTE(F40,"
",""""&amp;","&amp;"""")&amp;""""&amp;")")</f>
        <v/>
      </c>
      <c r="M40" s="13" t="str">
        <f>=IF(ISBLANK(E40),"","("&amp;""""&amp;SUBSTITUTE(E40,"
",""""&amp;","&amp;"""")&amp;""""&amp;")")</f>
        <v/>
      </c>
    </row>
    <row r="41" spans="1:13">
      <c r="A41" s="8" t="s"/>
      <c r="B41" s="20" t="s"/>
      <c r="C41" s="24" t="s"/>
      <c r="D41" s="22" t="s"/>
      <c r="E41" s="8" t="s"/>
      <c r="F41" s="8" t="s"/>
      <c r="G41" s="24" t="s"/>
      <c r="H41" s="22" t="s"/>
      <c r="I41" s="22" t="s"/>
      <c r="J41" s="18" t="str">
        <f>="VOI_"&amp;A41</f>
        <v>VOI_</v>
      </c>
      <c r="K41" s="18">
        <f>=A41</f>
        <v>0</v>
      </c>
      <c r="L41" s="13" t="str">
        <f>=IF(ISBLANK(F41),"","("&amp;""""&amp;SUBSTITUTE(F41,"
",""""&amp;","&amp;"""")&amp;""""&amp;")")</f>
        <v/>
      </c>
      <c r="M41" s="13" t="str">
        <f>=IF(ISBLANK(E41),"","("&amp;""""&amp;SUBSTITUTE(E41,"
",""""&amp;","&amp;"""")&amp;""""&amp;")")</f>
        <v/>
      </c>
    </row>
    <row r="42" spans="1:13">
      <c r="A42" s="8" t="s"/>
      <c r="B42" s="20" t="s"/>
      <c r="C42" s="24" t="s"/>
      <c r="D42" s="22" t="s"/>
      <c r="E42" s="8" t="s"/>
      <c r="F42" s="8" t="s"/>
      <c r="G42" s="24" t="s"/>
      <c r="H42" s="22" t="s"/>
      <c r="I42" s="22" t="s"/>
      <c r="J42" s="18" t="str">
        <f>="VOI_"&amp;A42</f>
        <v>VOI_</v>
      </c>
      <c r="K42" s="18">
        <f>=A42</f>
        <v>0</v>
      </c>
      <c r="L42" s="13" t="str">
        <f>=IF(ISBLANK(F42),"","("&amp;""""&amp;SUBSTITUTE(F42,"
",""""&amp;","&amp;"""")&amp;""""&amp;")")</f>
        <v/>
      </c>
      <c r="M42" s="13" t="str">
        <f>=IF(ISBLANK(E42),"","("&amp;""""&amp;SUBSTITUTE(E42,"
",""""&amp;","&amp;"""")&amp;""""&amp;")")</f>
        <v/>
      </c>
    </row>
    <row r="43" spans="1:13">
      <c r="A43" s="8" t="s"/>
      <c r="B43" s="20" t="s"/>
      <c r="C43" s="24" t="s"/>
      <c r="D43" s="22" t="s"/>
      <c r="E43" s="8" t="s"/>
      <c r="F43" s="8" t="s"/>
      <c r="G43" s="24" t="s"/>
      <c r="H43" s="22" t="s"/>
      <c r="I43" s="22" t="s"/>
      <c r="J43" s="18" t="str">
        <f>="VOI_"&amp;A43</f>
        <v>VOI_</v>
      </c>
      <c r="K43" s="18">
        <f>=A43</f>
        <v>0</v>
      </c>
      <c r="L43" s="13" t="str">
        <f>=IF(ISBLANK(F43),"","("&amp;""""&amp;SUBSTITUTE(F43,"
",""""&amp;","&amp;"""")&amp;""""&amp;")")</f>
        <v/>
      </c>
      <c r="M43" s="13" t="str">
        <f>=IF(ISBLANK(E43),"","("&amp;""""&amp;SUBSTITUTE(E43,"
",""""&amp;","&amp;"""")&amp;""""&amp;")")</f>
        <v/>
      </c>
    </row>
    <row r="44" spans="1:13">
      <c r="A44" s="8" t="s"/>
      <c r="B44" s="20" t="s"/>
      <c r="C44" s="24" t="s"/>
      <c r="D44" s="22" t="s"/>
      <c r="E44" s="8" t="s"/>
      <c r="F44" s="8" t="s"/>
      <c r="G44" s="24" t="s"/>
      <c r="H44" s="22" t="s"/>
      <c r="I44" s="22" t="s"/>
      <c r="J44" s="18" t="str">
        <f>="VOI_"&amp;A44</f>
        <v>VOI_</v>
      </c>
      <c r="K44" s="18">
        <f>=A44</f>
        <v>0</v>
      </c>
      <c r="L44" s="13" t="str">
        <f>=IF(ISBLANK(F44),"","("&amp;""""&amp;SUBSTITUTE(F44,"
",""""&amp;","&amp;"""")&amp;""""&amp;")")</f>
        <v/>
      </c>
      <c r="M44" s="13" t="str">
        <f>=IF(ISBLANK(E44),"","("&amp;""""&amp;SUBSTITUTE(E44,"
",""""&amp;","&amp;"""")&amp;""""&amp;")")</f>
        <v/>
      </c>
    </row>
    <row r="45" spans="1:13">
      <c r="A45" s="8" t="s"/>
      <c r="B45" s="20" t="s"/>
      <c r="C45" s="24" t="s"/>
      <c r="D45" s="22" t="s"/>
      <c r="E45" s="8" t="s"/>
      <c r="F45" s="8" t="s"/>
      <c r="G45" s="24" t="s"/>
      <c r="H45" s="22" t="s"/>
      <c r="I45" s="22" t="s"/>
      <c r="J45" s="18" t="str">
        <f>="VOI_"&amp;A45</f>
        <v>VOI_</v>
      </c>
      <c r="K45" s="18">
        <f>=A45</f>
        <v>0</v>
      </c>
      <c r="L45" s="13" t="str">
        <f>=IF(ISBLANK(F45),"","("&amp;""""&amp;SUBSTITUTE(F45,"
",""""&amp;","&amp;"""")&amp;""""&amp;")")</f>
        <v/>
      </c>
      <c r="M45" s="13" t="str">
        <f>=IF(ISBLANK(E45),"","("&amp;""""&amp;SUBSTITUTE(E45,"
",""""&amp;","&amp;"""")&amp;""""&amp;")")</f>
        <v/>
      </c>
    </row>
    <row r="46" spans="1:13">
      <c r="A46" s="8" t="s"/>
      <c r="B46" s="20" t="s"/>
      <c r="C46" s="24" t="s"/>
      <c r="D46" s="22" t="s"/>
      <c r="E46" s="8" t="s"/>
      <c r="F46" s="8" t="s"/>
      <c r="G46" s="24" t="s"/>
      <c r="H46" s="22" t="s"/>
      <c r="I46" s="22" t="s"/>
      <c r="J46" s="18" t="str">
        <f>="VOI_"&amp;A46</f>
        <v>VOI_</v>
      </c>
      <c r="K46" s="18">
        <f>=A46</f>
        <v>0</v>
      </c>
      <c r="L46" s="13" t="str">
        <f>=IF(ISBLANK(F46),"","("&amp;""""&amp;SUBSTITUTE(F46,"
",""""&amp;","&amp;"""")&amp;""""&amp;")")</f>
        <v/>
      </c>
      <c r="M46" s="13" t="str">
        <f>=IF(ISBLANK(E46),"","("&amp;""""&amp;SUBSTITUTE(E46,"
",""""&amp;","&amp;"""")&amp;""""&amp;")")</f>
        <v/>
      </c>
    </row>
    <row r="47" spans="1:13">
      <c r="A47" s="8" t="s"/>
      <c r="B47" s="20" t="s"/>
      <c r="C47" s="24" t="s"/>
      <c r="D47" s="22" t="s"/>
      <c r="E47" s="8" t="s"/>
      <c r="F47" s="8" t="s"/>
      <c r="G47" s="24" t="s"/>
      <c r="H47" s="22" t="s"/>
      <c r="I47" s="22" t="s"/>
      <c r="J47" s="18" t="str">
        <f>="VOI_"&amp;A47</f>
        <v>VOI_</v>
      </c>
      <c r="K47" s="18">
        <f>=A47</f>
        <v>0</v>
      </c>
      <c r="L47" s="13" t="str">
        <f>=IF(ISBLANK(F47),"","("&amp;""""&amp;SUBSTITUTE(F47,"
",""""&amp;","&amp;"""")&amp;""""&amp;")")</f>
        <v/>
      </c>
      <c r="M47" s="13" t="str">
        <f>=IF(ISBLANK(E47),"","("&amp;""""&amp;SUBSTITUTE(E47,"
",""""&amp;","&amp;"""")&amp;""""&amp;")")</f>
        <v/>
      </c>
    </row>
    <row r="48" spans="1:13">
      <c r="A48" s="8" t="s"/>
      <c r="B48" s="20" t="s"/>
      <c r="C48" s="24" t="s"/>
      <c r="D48" s="22" t="s"/>
      <c r="E48" s="8" t="s"/>
      <c r="F48" s="8" t="s"/>
      <c r="G48" s="24" t="s"/>
      <c r="H48" s="22" t="s"/>
      <c r="I48" s="22" t="s"/>
      <c r="J48" s="18" t="str">
        <f>="VOI_"&amp;A48</f>
        <v>VOI_</v>
      </c>
      <c r="K48" s="18">
        <f>=A48</f>
        <v>0</v>
      </c>
      <c r="L48" s="13" t="str">
        <f>=IF(ISBLANK(F48),"","("&amp;""""&amp;SUBSTITUTE(F48,"
",""""&amp;","&amp;"""")&amp;""""&amp;")")</f>
        <v/>
      </c>
      <c r="M48" s="13" t="str">
        <f>=IF(ISBLANK(E48),"","("&amp;""""&amp;SUBSTITUTE(E48,"
",""""&amp;","&amp;"""")&amp;""""&amp;")")</f>
        <v/>
      </c>
    </row>
    <row r="49" spans="1:13">
      <c r="A49" s="8" t="s"/>
      <c r="B49" s="20" t="s"/>
      <c r="C49" s="24" t="s"/>
      <c r="D49" s="22" t="s"/>
      <c r="E49" s="8" t="s"/>
      <c r="F49" s="8" t="s"/>
      <c r="G49" s="24" t="s"/>
      <c r="H49" s="22" t="s"/>
      <c r="I49" s="22" t="s"/>
      <c r="J49" s="18" t="str">
        <f>="VOI_"&amp;A49</f>
        <v>VOI_</v>
      </c>
      <c r="K49" s="18">
        <f>=A49</f>
        <v>0</v>
      </c>
      <c r="L49" s="13" t="str">
        <f>=IF(ISBLANK(F49),"","("&amp;""""&amp;SUBSTITUTE(F49,"
",""""&amp;","&amp;"""")&amp;""""&amp;")")</f>
        <v/>
      </c>
      <c r="M49" s="13" t="str">
        <f>=IF(ISBLANK(E49),"","("&amp;""""&amp;SUBSTITUTE(E49,"
",""""&amp;","&amp;"""")&amp;""""&amp;")")</f>
        <v/>
      </c>
    </row>
    <row r="50" spans="1:13">
      <c r="A50" s="8" t="s"/>
      <c r="B50" s="20" t="s"/>
      <c r="C50" s="24" t="s"/>
      <c r="D50" s="22" t="s"/>
      <c r="E50" s="8" t="s"/>
      <c r="F50" s="8" t="s"/>
      <c r="G50" s="24" t="s"/>
      <c r="H50" s="22" t="s"/>
      <c r="I50" s="22" t="s"/>
      <c r="J50" s="18" t="str">
        <f>="VOI_"&amp;A50</f>
        <v>VOI_</v>
      </c>
      <c r="K50" s="18">
        <f>=A50</f>
        <v>0</v>
      </c>
      <c r="L50" s="13" t="str">
        <f>=IF(ISBLANK(F50),"","("&amp;""""&amp;SUBSTITUTE(F50,"
",""""&amp;","&amp;"""")&amp;""""&amp;")")</f>
        <v/>
      </c>
      <c r="M50" s="13" t="str">
        <f>=IF(ISBLANK(E50),"","("&amp;""""&amp;SUBSTITUTE(E50,"
",""""&amp;","&amp;"""")&amp;""""&amp;")")</f>
        <v/>
      </c>
    </row>
    <row r="51" spans="1:13">
      <c r="A51" s="8" t="s"/>
      <c r="B51" s="20" t="s"/>
      <c r="C51" s="24" t="s"/>
      <c r="D51" s="22" t="s"/>
      <c r="E51" s="8" t="s"/>
      <c r="F51" s="8" t="s"/>
      <c r="G51" s="24" t="s"/>
      <c r="H51" s="22" t="s"/>
      <c r="I51" s="22" t="s"/>
      <c r="J51" s="18" t="str">
        <f>="VOI_"&amp;A51</f>
        <v>VOI_</v>
      </c>
      <c r="K51" s="18">
        <f>=A51</f>
        <v>0</v>
      </c>
      <c r="L51" s="13" t="str">
        <f>=IF(ISBLANK(F51),"","("&amp;""""&amp;SUBSTITUTE(F51,"
",""""&amp;","&amp;"""")&amp;""""&amp;")")</f>
        <v/>
      </c>
      <c r="M51" s="13" t="str">
        <f>=IF(ISBLANK(E51),"","("&amp;""""&amp;SUBSTITUTE(E51,"
",""""&amp;","&amp;"""")&amp;""""&amp;")")</f>
        <v/>
      </c>
    </row>
    <row r="52" spans="1:13">
      <c r="A52" s="8" t="s"/>
      <c r="B52" s="20" t="s"/>
      <c r="C52" s="24" t="s"/>
      <c r="D52" s="22" t="s"/>
      <c r="E52" s="8" t="s"/>
      <c r="F52" s="8" t="s"/>
      <c r="G52" s="24" t="s"/>
      <c r="H52" s="22" t="s"/>
      <c r="I52" s="22" t="s"/>
      <c r="J52" s="18" t="str">
        <f>="VOI_"&amp;A52</f>
        <v>VOI_</v>
      </c>
      <c r="K52" s="18">
        <f>=A52</f>
        <v>0</v>
      </c>
      <c r="L52" s="13" t="str">
        <f>=IF(ISBLANK(F52),"","("&amp;""""&amp;SUBSTITUTE(F52,"
",""""&amp;","&amp;"""")&amp;""""&amp;")")</f>
        <v/>
      </c>
      <c r="M52" s="13" t="str">
        <f>=IF(ISBLANK(E52),"","("&amp;""""&amp;SUBSTITUTE(E52,"
",""""&amp;","&amp;"""")&amp;""""&amp;")")</f>
        <v/>
      </c>
    </row>
    <row r="53" spans="1:13">
      <c r="A53" s="8" t="s"/>
      <c r="B53" s="20" t="s"/>
      <c r="C53" s="24" t="s"/>
      <c r="D53" s="22" t="s"/>
      <c r="E53" s="8" t="s"/>
      <c r="F53" s="8" t="s"/>
      <c r="G53" s="24" t="s"/>
      <c r="H53" s="22" t="s"/>
      <c r="I53" s="22" t="s"/>
      <c r="J53" s="18" t="str">
        <f>="VOI_"&amp;A53</f>
        <v>VOI_</v>
      </c>
      <c r="K53" s="18">
        <f>=A53</f>
        <v>0</v>
      </c>
      <c r="L53" s="13" t="str">
        <f>=IF(ISBLANK(F53),"","("&amp;""""&amp;SUBSTITUTE(F53,"
",""""&amp;","&amp;"""")&amp;""""&amp;")")</f>
        <v/>
      </c>
      <c r="M53" s="13" t="str">
        <f>=IF(ISBLANK(E53),"","("&amp;""""&amp;SUBSTITUTE(E53,"
",""""&amp;","&amp;"""")&amp;""""&amp;")")</f>
        <v/>
      </c>
    </row>
    <row r="54" spans="1:13">
      <c r="A54" s="8" t="s"/>
      <c r="B54" s="20" t="s"/>
      <c r="C54" s="24" t="s"/>
      <c r="D54" s="22" t="s"/>
      <c r="E54" s="8" t="s"/>
      <c r="F54" s="8" t="s"/>
      <c r="G54" s="24" t="s"/>
      <c r="H54" s="22" t="s"/>
      <c r="I54" s="22" t="s"/>
      <c r="J54" s="18" t="str">
        <f>="VOI_"&amp;A54</f>
        <v>VOI_</v>
      </c>
      <c r="K54" s="18">
        <f>=A54</f>
        <v>0</v>
      </c>
      <c r="L54" s="13" t="str">
        <f>=IF(ISBLANK(F54),"","("&amp;""""&amp;SUBSTITUTE(F54,"
",""""&amp;","&amp;"""")&amp;""""&amp;")")</f>
        <v/>
      </c>
      <c r="M54" s="13" t="str">
        <f>=IF(ISBLANK(E54),"","("&amp;""""&amp;SUBSTITUTE(E54,"
",""""&amp;","&amp;"""")&amp;""""&amp;")")</f>
        <v/>
      </c>
    </row>
    <row r="55" spans="1:13">
      <c r="A55" s="8" t="s"/>
      <c r="B55" s="20" t="s"/>
      <c r="C55" s="24" t="s"/>
      <c r="D55" s="22" t="s"/>
      <c r="E55" s="8" t="s"/>
      <c r="F55" s="8" t="s"/>
      <c r="G55" s="24" t="s"/>
      <c r="H55" s="22" t="s"/>
      <c r="I55" s="22" t="s"/>
      <c r="J55" s="18" t="str">
        <f>="VOI_"&amp;A55</f>
        <v>VOI_</v>
      </c>
      <c r="K55" s="18">
        <f>=A55</f>
        <v>0</v>
      </c>
      <c r="L55" s="13" t="str">
        <f>=IF(ISBLANK(F55),"","("&amp;""""&amp;SUBSTITUTE(F55,"
",""""&amp;","&amp;"""")&amp;""""&amp;")")</f>
        <v/>
      </c>
      <c r="M55" s="13" t="str">
        <f>=IF(ISBLANK(E55),"","("&amp;""""&amp;SUBSTITUTE(E55,"
",""""&amp;","&amp;"""")&amp;""""&amp;")")</f>
        <v/>
      </c>
    </row>
    <row r="56" spans="1:13">
      <c r="A56" s="8" t="s"/>
      <c r="B56" s="20" t="s"/>
      <c r="C56" s="24" t="s"/>
      <c r="D56" s="22" t="s"/>
      <c r="E56" s="8" t="s"/>
      <c r="F56" s="8" t="s"/>
      <c r="G56" s="24" t="s"/>
      <c r="H56" s="22" t="s"/>
      <c r="I56" s="22" t="s"/>
      <c r="J56" s="18" t="str">
        <f>="VOI_"&amp;A56</f>
        <v>VOI_</v>
      </c>
      <c r="K56" s="18">
        <f>=A56</f>
        <v>0</v>
      </c>
      <c r="L56" s="13" t="str">
        <f>=IF(ISBLANK(F56),"","("&amp;""""&amp;SUBSTITUTE(F56,"
",""""&amp;","&amp;"""")&amp;""""&amp;")")</f>
        <v/>
      </c>
      <c r="M56" s="13" t="str">
        <f>=IF(ISBLANK(E56),"","("&amp;""""&amp;SUBSTITUTE(E56,"
",""""&amp;","&amp;"""")&amp;""""&amp;")")</f>
        <v/>
      </c>
    </row>
    <row r="57" spans="1:13">
      <c r="A57" s="8" t="s"/>
      <c r="B57" s="20" t="s"/>
      <c r="C57" s="24" t="s"/>
      <c r="D57" s="22" t="s"/>
      <c r="E57" s="8" t="s"/>
      <c r="F57" s="8" t="s"/>
      <c r="G57" s="24" t="s"/>
      <c r="H57" s="22" t="s"/>
      <c r="I57" s="22" t="s"/>
      <c r="J57" s="18" t="str">
        <f>="VOI_"&amp;A57</f>
        <v>VOI_</v>
      </c>
      <c r="K57" s="18">
        <f>=A57</f>
        <v>0</v>
      </c>
      <c r="L57" s="13" t="str">
        <f>=IF(ISBLANK(F57),"","("&amp;""""&amp;SUBSTITUTE(F57,"
",""""&amp;","&amp;"""")&amp;""""&amp;")")</f>
        <v/>
      </c>
      <c r="M57" s="13" t="str">
        <f>=IF(ISBLANK(E57),"","("&amp;""""&amp;SUBSTITUTE(E57,"
",""""&amp;","&amp;"""")&amp;""""&amp;")")</f>
        <v/>
      </c>
    </row>
    <row r="58" spans="1:13">
      <c r="A58" s="8" t="s"/>
      <c r="B58" s="20" t="s"/>
      <c r="C58" s="24" t="s"/>
      <c r="D58" s="22" t="s"/>
      <c r="E58" s="8" t="s"/>
      <c r="F58" s="8" t="s"/>
      <c r="G58" s="24" t="s"/>
      <c r="H58" s="22" t="s"/>
      <c r="I58" s="22" t="s"/>
      <c r="J58" s="18" t="str">
        <f>="VOI_"&amp;A58</f>
        <v>VOI_</v>
      </c>
      <c r="K58" s="18">
        <f>=A58</f>
        <v>0</v>
      </c>
      <c r="L58" s="13" t="str">
        <f>=IF(ISBLANK(F58),"","("&amp;""""&amp;SUBSTITUTE(F58,"
",""""&amp;","&amp;"""")&amp;""""&amp;")")</f>
        <v/>
      </c>
      <c r="M58" s="13" t="str">
        <f>=IF(ISBLANK(E58),"","("&amp;""""&amp;SUBSTITUTE(E58,"
",""""&amp;","&amp;"""")&amp;""""&amp;")")</f>
        <v/>
      </c>
    </row>
    <row r="59" spans="1:13">
      <c r="A59" s="8" t="s"/>
      <c r="B59" s="20" t="s"/>
      <c r="C59" s="24" t="s"/>
      <c r="D59" s="22" t="s"/>
      <c r="E59" s="8" t="s"/>
      <c r="F59" s="8" t="s"/>
      <c r="G59" s="24" t="s"/>
      <c r="H59" s="22" t="s"/>
      <c r="I59" s="22" t="s"/>
      <c r="J59" s="18" t="str">
        <f>="VOI_"&amp;A59</f>
        <v>VOI_</v>
      </c>
      <c r="K59" s="18">
        <f>=A59</f>
        <v>0</v>
      </c>
      <c r="L59" s="13" t="str">
        <f>=IF(ISBLANK(F59),"","("&amp;""""&amp;SUBSTITUTE(F59,"
",""""&amp;","&amp;"""")&amp;""""&amp;")")</f>
        <v/>
      </c>
      <c r="M59" s="13" t="str">
        <f>=IF(ISBLANK(E59),"","("&amp;""""&amp;SUBSTITUTE(E59,"
",""""&amp;","&amp;"""")&amp;""""&amp;")")</f>
        <v/>
      </c>
    </row>
    <row r="60" spans="1:13">
      <c r="A60" s="8" t="s"/>
      <c r="B60" s="20" t="s"/>
      <c r="C60" s="24" t="s"/>
      <c r="D60" s="22" t="s"/>
      <c r="E60" s="8" t="s"/>
      <c r="F60" s="8" t="s"/>
      <c r="G60" s="24" t="s"/>
      <c r="H60" s="22" t="s"/>
      <c r="I60" s="22" t="s"/>
      <c r="J60" s="18" t="str">
        <f>="VOI_"&amp;A60</f>
        <v>VOI_</v>
      </c>
      <c r="K60" s="18">
        <f>=A60</f>
        <v>0</v>
      </c>
      <c r="L60" s="13" t="str">
        <f>=IF(ISBLANK(F60),"","("&amp;""""&amp;SUBSTITUTE(F60,"
",""""&amp;","&amp;"""")&amp;""""&amp;")")</f>
        <v/>
      </c>
      <c r="M60" s="13" t="str">
        <f>=IF(ISBLANK(E60),"","("&amp;""""&amp;SUBSTITUTE(E60,"
",""""&amp;","&amp;"""")&amp;""""&amp;")")</f>
        <v/>
      </c>
    </row>
    <row r="61" spans="1:13">
      <c r="A61" s="8" t="s"/>
      <c r="B61" s="20" t="s"/>
      <c r="C61" s="24" t="s"/>
      <c r="D61" s="22" t="s"/>
      <c r="E61" s="8" t="s"/>
      <c r="F61" s="8" t="s"/>
      <c r="G61" s="24" t="s"/>
      <c r="H61" s="22" t="s"/>
      <c r="I61" s="22" t="s"/>
      <c r="J61" s="18" t="str">
        <f>="VOI_"&amp;A61</f>
        <v>VOI_</v>
      </c>
      <c r="K61" s="18">
        <f>=A61</f>
        <v>0</v>
      </c>
      <c r="L61" s="13" t="str">
        <f>=IF(ISBLANK(F61),"","("&amp;""""&amp;SUBSTITUTE(F61,"
",""""&amp;","&amp;"""")&amp;""""&amp;")")</f>
        <v/>
      </c>
      <c r="M61" s="13" t="str">
        <f>=IF(ISBLANK(E61),"","("&amp;""""&amp;SUBSTITUTE(E61,"
",""""&amp;","&amp;"""")&amp;""""&amp;")")</f>
        <v/>
      </c>
    </row>
    <row r="62" spans="1:13">
      <c r="A62" s="8" t="s"/>
      <c r="B62" s="20" t="s"/>
      <c r="C62" s="24" t="s"/>
      <c r="D62" s="22" t="s"/>
      <c r="E62" s="8" t="s"/>
      <c r="F62" s="8" t="s"/>
      <c r="G62" s="24" t="s"/>
      <c r="H62" s="22" t="s"/>
      <c r="I62" s="22" t="s"/>
      <c r="J62" s="18" t="str">
        <f>="VOI_"&amp;A62</f>
        <v>VOI_</v>
      </c>
      <c r="K62" s="18">
        <f>=A62</f>
        <v>0</v>
      </c>
      <c r="L62" s="13" t="str">
        <f>=IF(ISBLANK(F62),"","("&amp;""""&amp;SUBSTITUTE(F62,"
",""""&amp;","&amp;"""")&amp;""""&amp;")")</f>
        <v/>
      </c>
      <c r="M62" s="13" t="str">
        <f>=IF(ISBLANK(E62),"","("&amp;""""&amp;SUBSTITUTE(E62,"
",""""&amp;","&amp;"""")&amp;""""&amp;")")</f>
        <v/>
      </c>
    </row>
    <row r="63" spans="1:13">
      <c r="A63" s="8" t="s"/>
      <c r="B63" s="20" t="s"/>
      <c r="C63" s="24" t="s"/>
      <c r="D63" s="22" t="s"/>
      <c r="E63" s="8" t="s"/>
      <c r="F63" s="8" t="s"/>
      <c r="G63" s="24" t="s"/>
      <c r="H63" s="22" t="s"/>
      <c r="I63" s="22" t="s"/>
      <c r="J63" s="18" t="str">
        <f>="VOI_"&amp;A63</f>
        <v>VOI_</v>
      </c>
      <c r="K63" s="18">
        <f>=A63</f>
        <v>0</v>
      </c>
      <c r="L63" s="13" t="str">
        <f>=IF(ISBLANK(F63),"","("&amp;""""&amp;SUBSTITUTE(F63,"
",""""&amp;","&amp;"""")&amp;""""&amp;")")</f>
        <v/>
      </c>
      <c r="M63" s="13" t="str">
        <f>=IF(ISBLANK(E63),"","("&amp;""""&amp;SUBSTITUTE(E63,"
",""""&amp;","&amp;"""")&amp;""""&amp;")")</f>
        <v/>
      </c>
    </row>
    <row r="64" spans="1:13">
      <c r="A64" s="8" t="s"/>
      <c r="B64" s="20" t="s"/>
      <c r="C64" s="24" t="s"/>
      <c r="D64" s="22" t="s"/>
      <c r="E64" s="8" t="s"/>
      <c r="F64" s="8" t="s"/>
      <c r="G64" s="24" t="s"/>
      <c r="H64" s="22" t="s"/>
      <c r="I64" s="22" t="s"/>
      <c r="J64" s="18" t="str">
        <f>="VOI_"&amp;A64</f>
        <v>VOI_</v>
      </c>
      <c r="K64" s="18">
        <f>=A64</f>
        <v>0</v>
      </c>
      <c r="L64" s="13" t="str">
        <f>=IF(ISBLANK(F64),"","("&amp;""""&amp;SUBSTITUTE(F64,"
",""""&amp;","&amp;"""")&amp;""""&amp;")")</f>
        <v/>
      </c>
      <c r="M64" s="13" t="str">
        <f>=IF(ISBLANK(E64),"","("&amp;""""&amp;SUBSTITUTE(E64,"
",""""&amp;","&amp;"""")&amp;""""&amp;")")</f>
        <v/>
      </c>
    </row>
    <row r="65" spans="1:13">
      <c r="A65" s="8" t="s"/>
      <c r="B65" s="20" t="s"/>
      <c r="C65" s="24" t="s"/>
      <c r="D65" s="22" t="s"/>
      <c r="E65" s="8" t="s"/>
      <c r="F65" s="8" t="s"/>
      <c r="G65" s="24" t="s"/>
      <c r="H65" s="22" t="s"/>
      <c r="I65" s="22" t="s"/>
      <c r="J65" s="18" t="str">
        <f>="VOI_"&amp;A65</f>
        <v>VOI_</v>
      </c>
      <c r="K65" s="18">
        <f>=A65</f>
        <v>0</v>
      </c>
      <c r="L65" s="13" t="str">
        <f>=IF(ISBLANK(F65),"","("&amp;""""&amp;SUBSTITUTE(F65,"
",""""&amp;","&amp;"""")&amp;""""&amp;")")</f>
        <v/>
      </c>
      <c r="M65" s="13" t="str">
        <f>=IF(ISBLANK(E65),"","("&amp;""""&amp;SUBSTITUTE(E65,"
",""""&amp;","&amp;"""")&amp;""""&amp;")")</f>
        <v/>
      </c>
    </row>
    <row r="66" spans="1:13">
      <c r="A66" s="8" t="s"/>
      <c r="B66" s="20" t="s"/>
      <c r="C66" s="24" t="s"/>
      <c r="D66" s="22" t="s"/>
      <c r="E66" s="8" t="s"/>
      <c r="F66" s="8" t="s"/>
      <c r="G66" s="24" t="s"/>
      <c r="H66" s="22" t="s"/>
      <c r="I66" s="22" t="s"/>
      <c r="J66" s="18" t="str">
        <f>="VOI_"&amp;A66</f>
        <v>VOI_</v>
      </c>
      <c r="K66" s="18">
        <f>=A66</f>
        <v>0</v>
      </c>
      <c r="L66" s="13" t="str">
        <f>=IF(ISBLANK(F66),"","("&amp;""""&amp;SUBSTITUTE(F66,"
",""""&amp;","&amp;"""")&amp;""""&amp;")")</f>
        <v/>
      </c>
      <c r="M66" s="13" t="str">
        <f>=IF(ISBLANK(E66),"","("&amp;""""&amp;SUBSTITUTE(E66,"
",""""&amp;","&amp;"""")&amp;""""&amp;")")</f>
        <v/>
      </c>
    </row>
    <row r="67" spans="1:13">
      <c r="A67" s="8" t="s"/>
      <c r="B67" s="20" t="s"/>
      <c r="C67" s="24" t="s"/>
      <c r="D67" s="22" t="s"/>
      <c r="E67" s="8" t="s"/>
      <c r="F67" s="8" t="s"/>
      <c r="G67" s="24" t="s"/>
      <c r="H67" s="22" t="s"/>
      <c r="I67" s="22" t="s"/>
      <c r="J67" s="18" t="str">
        <f>="VOI_"&amp;A67</f>
        <v>VOI_</v>
      </c>
      <c r="K67" s="18">
        <f>=A67</f>
        <v>0</v>
      </c>
      <c r="L67" s="13" t="str">
        <f>=IF(ISBLANK(F67),"","("&amp;""""&amp;SUBSTITUTE(F67,"
",""""&amp;","&amp;"""")&amp;""""&amp;")")</f>
        <v/>
      </c>
      <c r="M67" s="13" t="str">
        <f>=IF(ISBLANK(E67),"","("&amp;""""&amp;SUBSTITUTE(E67,"
",""""&amp;","&amp;"""")&amp;""""&amp;")")</f>
        <v/>
      </c>
    </row>
    <row r="68" spans="1:13">
      <c r="A68" s="8" t="s"/>
      <c r="B68" s="20" t="s"/>
      <c r="C68" s="24" t="s"/>
      <c r="D68" s="22" t="s"/>
      <c r="E68" s="8" t="s"/>
      <c r="F68" s="8" t="s"/>
      <c r="G68" s="24" t="s"/>
      <c r="H68" s="22" t="s"/>
      <c r="I68" s="22" t="s"/>
      <c r="J68" s="18" t="str">
        <f>="VOI_"&amp;A68</f>
        <v>VOI_</v>
      </c>
      <c r="K68" s="18">
        <f>=A68</f>
        <v>0</v>
      </c>
      <c r="L68" s="13" t="str">
        <f>=IF(ISBLANK(F68),"","("&amp;""""&amp;SUBSTITUTE(F68,"
",""""&amp;","&amp;"""")&amp;""""&amp;")")</f>
        <v/>
      </c>
      <c r="M68" s="13" t="str">
        <f>=IF(ISBLANK(E68),"","("&amp;""""&amp;SUBSTITUTE(E68,"
",""""&amp;","&amp;"""")&amp;""""&amp;")")</f>
        <v/>
      </c>
    </row>
    <row r="69" spans="1:13">
      <c r="A69" s="8" t="s"/>
      <c r="B69" s="20" t="s"/>
      <c r="C69" s="24" t="s"/>
      <c r="D69" s="22" t="s"/>
      <c r="E69" s="8" t="s"/>
      <c r="F69" s="8" t="s"/>
      <c r="G69" s="24" t="s"/>
      <c r="H69" s="22" t="s"/>
      <c r="I69" s="22" t="s"/>
      <c r="J69" s="18" t="str">
        <f>="VOI_"&amp;A69</f>
        <v>VOI_</v>
      </c>
      <c r="K69" s="18">
        <f>=A69</f>
        <v>0</v>
      </c>
      <c r="L69" s="13" t="str">
        <f>=IF(ISBLANK(F69),"","("&amp;""""&amp;SUBSTITUTE(F69,"
",""""&amp;","&amp;"""")&amp;""""&amp;")")</f>
        <v/>
      </c>
      <c r="M69" s="13" t="str">
        <f>=IF(ISBLANK(E69),"","("&amp;""""&amp;SUBSTITUTE(E69,"
",""""&amp;","&amp;"""")&amp;""""&amp;")")</f>
        <v/>
      </c>
    </row>
    <row r="70" spans="1:13">
      <c r="A70" s="8" t="s"/>
      <c r="B70" s="20" t="s"/>
      <c r="C70" s="24" t="s"/>
      <c r="D70" s="22" t="s"/>
      <c r="E70" s="8" t="s"/>
      <c r="F70" s="8" t="s"/>
      <c r="G70" s="24" t="s"/>
      <c r="H70" s="22" t="s"/>
      <c r="I70" s="22" t="s"/>
      <c r="J70" s="18" t="str">
        <f>="VOI_"&amp;A70</f>
        <v>VOI_</v>
      </c>
      <c r="K70" s="18">
        <f>=A70</f>
        <v>0</v>
      </c>
      <c r="L70" s="13" t="str">
        <f>=IF(ISBLANK(F70),"","("&amp;""""&amp;SUBSTITUTE(F70,"
",""""&amp;","&amp;"""")&amp;""""&amp;")")</f>
        <v/>
      </c>
      <c r="M70" s="13" t="str">
        <f>=IF(ISBLANK(E70),"","("&amp;""""&amp;SUBSTITUTE(E70,"
",""""&amp;","&amp;"""")&amp;""""&amp;")")</f>
        <v/>
      </c>
    </row>
    <row r="71" spans="1:13">
      <c r="A71" s="8" t="s"/>
      <c r="B71" s="20" t="s"/>
      <c r="C71" s="24" t="s"/>
      <c r="D71" s="22" t="s"/>
      <c r="E71" s="8" t="s"/>
      <c r="F71" s="8" t="s"/>
      <c r="G71" s="24" t="s"/>
      <c r="H71" s="22" t="s"/>
      <c r="I71" s="22" t="s"/>
      <c r="J71" s="18" t="str">
        <f>="VOI_"&amp;A71</f>
        <v>VOI_</v>
      </c>
      <c r="K71" s="18">
        <f>=A71</f>
        <v>0</v>
      </c>
      <c r="L71" s="13" t="str">
        <f>=IF(ISBLANK(F71),"","("&amp;""""&amp;SUBSTITUTE(F71,"
",""""&amp;","&amp;"""")&amp;""""&amp;")")</f>
        <v/>
      </c>
      <c r="M71" s="13" t="str">
        <f>=IF(ISBLANK(E71),"","("&amp;""""&amp;SUBSTITUTE(E71,"
",""""&amp;","&amp;"""")&amp;""""&amp;")")</f>
        <v/>
      </c>
    </row>
    <row r="72" spans="1:13">
      <c r="A72" s="8" t="s"/>
      <c r="B72" s="20" t="s"/>
      <c r="C72" s="24" t="s"/>
      <c r="D72" s="22" t="s"/>
      <c r="E72" s="8" t="s"/>
      <c r="F72" s="8" t="s"/>
      <c r="G72" s="24" t="s"/>
      <c r="H72" s="22" t="s"/>
      <c r="I72" s="22" t="s"/>
      <c r="J72" s="18" t="str">
        <f>="VOI_"&amp;A72</f>
        <v>VOI_</v>
      </c>
      <c r="K72" s="18">
        <f>=A72</f>
        <v>0</v>
      </c>
      <c r="L72" s="13" t="str">
        <f>=IF(ISBLANK(F72),"","("&amp;""""&amp;SUBSTITUTE(F72,"
",""""&amp;","&amp;"""")&amp;""""&amp;")")</f>
        <v/>
      </c>
      <c r="M72" s="13" t="str">
        <f>=IF(ISBLANK(E72),"","("&amp;""""&amp;SUBSTITUTE(E72,"
",""""&amp;","&amp;"""")&amp;""""&amp;")")</f>
        <v/>
      </c>
    </row>
    <row r="73" spans="1:13">
      <c r="A73" s="8" t="s"/>
      <c r="B73" s="20" t="s"/>
      <c r="C73" s="24" t="s"/>
      <c r="D73" s="22" t="s"/>
      <c r="E73" s="8" t="s"/>
      <c r="F73" s="8" t="s"/>
      <c r="G73" s="24" t="s"/>
      <c r="H73" s="22" t="s"/>
      <c r="I73" s="22" t="s"/>
      <c r="J73" s="18" t="str">
        <f>="VOI_"&amp;A73</f>
        <v>VOI_</v>
      </c>
      <c r="K73" s="18">
        <f>=A73</f>
        <v>0</v>
      </c>
      <c r="L73" s="13" t="str">
        <f>=IF(ISBLANK(F73),"","("&amp;""""&amp;SUBSTITUTE(F73,"
",""""&amp;","&amp;"""")&amp;""""&amp;")")</f>
        <v/>
      </c>
      <c r="M73" s="13" t="str">
        <f>=IF(ISBLANK(E73),"","("&amp;""""&amp;SUBSTITUTE(E73,"
",""""&amp;","&amp;"""")&amp;""""&amp;")")</f>
        <v/>
      </c>
    </row>
    <row r="74" spans="1:13">
      <c r="A74" s="8" t="s"/>
      <c r="B74" s="20" t="s"/>
      <c r="C74" s="24" t="s"/>
      <c r="D74" s="22" t="s"/>
      <c r="E74" s="8" t="s"/>
      <c r="F74" s="8" t="s"/>
      <c r="G74" s="24" t="s"/>
      <c r="H74" s="22" t="s"/>
      <c r="I74" s="22" t="s"/>
      <c r="J74" s="18" t="str">
        <f>="VOI_"&amp;A74</f>
        <v>VOI_</v>
      </c>
      <c r="K74" s="18">
        <f>=A74</f>
        <v>0</v>
      </c>
      <c r="L74" s="13" t="str">
        <f>=IF(ISBLANK(F74),"","("&amp;""""&amp;SUBSTITUTE(F74,"
",""""&amp;","&amp;"""")&amp;""""&amp;")")</f>
        <v/>
      </c>
      <c r="M74" s="13" t="str">
        <f>=IF(ISBLANK(E74),"","("&amp;""""&amp;SUBSTITUTE(E74,"
",""""&amp;","&amp;"""")&amp;""""&amp;")")</f>
        <v/>
      </c>
    </row>
    <row r="75" spans="1:13">
      <c r="A75" s="8" t="s"/>
      <c r="B75" s="20" t="s"/>
      <c r="C75" s="24" t="s"/>
      <c r="D75" s="22" t="s"/>
      <c r="E75" s="8" t="s"/>
      <c r="F75" s="8" t="s"/>
      <c r="G75" s="24" t="s"/>
      <c r="H75" s="22" t="s"/>
      <c r="I75" s="22" t="s"/>
      <c r="J75" s="18" t="str">
        <f>="VOI_"&amp;A75</f>
        <v>VOI_</v>
      </c>
      <c r="K75" s="18">
        <f>=A75</f>
        <v>0</v>
      </c>
      <c r="L75" s="13" t="str">
        <f>=IF(ISBLANK(F75),"","("&amp;""""&amp;SUBSTITUTE(F75,"
",""""&amp;","&amp;"""")&amp;""""&amp;")")</f>
        <v/>
      </c>
      <c r="M75" s="13" t="str">
        <f>=IF(ISBLANK(E75),"","("&amp;""""&amp;SUBSTITUTE(E75,"
",""""&amp;","&amp;"""")&amp;""""&amp;")")</f>
        <v/>
      </c>
    </row>
    <row r="76" spans="1:13">
      <c r="A76" s="8" t="s"/>
      <c r="B76" s="20" t="s"/>
      <c r="C76" s="24" t="s"/>
      <c r="D76" s="22" t="s"/>
      <c r="E76" s="8" t="s"/>
      <c r="F76" s="8" t="s"/>
      <c r="G76" s="24" t="s"/>
      <c r="H76" s="22" t="s"/>
      <c r="I76" s="22" t="s"/>
      <c r="J76" s="18" t="str">
        <f>="VOI_"&amp;A76</f>
        <v>VOI_</v>
      </c>
      <c r="K76" s="18">
        <f>=A76</f>
        <v>0</v>
      </c>
      <c r="L76" s="13" t="str">
        <f>=IF(ISBLANK(F76),"","("&amp;""""&amp;SUBSTITUTE(F76,"
",""""&amp;","&amp;"""")&amp;""""&amp;")")</f>
        <v/>
      </c>
      <c r="M76" s="13" t="str">
        <f>=IF(ISBLANK(E76),"","("&amp;""""&amp;SUBSTITUTE(E76,"
",""""&amp;","&amp;"""")&amp;""""&amp;")")</f>
        <v/>
      </c>
    </row>
    <row r="77" spans="1:13">
      <c r="A77" s="8" t="s"/>
      <c r="B77" s="20" t="s"/>
      <c r="C77" s="24" t="s"/>
      <c r="D77" s="22" t="s"/>
      <c r="E77" s="8" t="s"/>
      <c r="F77" s="8" t="s"/>
      <c r="G77" s="24" t="s"/>
      <c r="H77" s="22" t="s"/>
      <c r="I77" s="22" t="s"/>
      <c r="J77" s="18" t="str">
        <f>="VOI_"&amp;A77</f>
        <v>VOI_</v>
      </c>
      <c r="K77" s="18">
        <f>=A77</f>
        <v>0</v>
      </c>
      <c r="L77" s="13" t="str">
        <f>=IF(ISBLANK(F77),"","("&amp;""""&amp;SUBSTITUTE(F77,"
",""""&amp;","&amp;"""")&amp;""""&amp;")")</f>
        <v/>
      </c>
      <c r="M77" s="13" t="str">
        <f>=IF(ISBLANK(E77),"","("&amp;""""&amp;SUBSTITUTE(E77,"
",""""&amp;","&amp;"""")&amp;""""&amp;")")</f>
        <v/>
      </c>
    </row>
    <row r="78" spans="1:13">
      <c r="A78" s="8" t="s"/>
      <c r="B78" s="20" t="s"/>
      <c r="C78" s="24" t="s"/>
      <c r="D78" s="22" t="s"/>
      <c r="E78" s="8" t="s"/>
      <c r="F78" s="8" t="s"/>
      <c r="G78" s="24" t="s"/>
      <c r="H78" s="22" t="s"/>
      <c r="I78" s="22" t="s"/>
      <c r="J78" s="18" t="str">
        <f>="VOI_"&amp;A78</f>
        <v>VOI_</v>
      </c>
      <c r="K78" s="18">
        <f>=A78</f>
        <v>0</v>
      </c>
      <c r="L78" s="13" t="str">
        <f>=IF(ISBLANK(F78),"","("&amp;""""&amp;SUBSTITUTE(F78,"
",""""&amp;","&amp;"""")&amp;""""&amp;")")</f>
        <v/>
      </c>
      <c r="M78" s="13" t="str">
        <f>=IF(ISBLANK(E78),"","("&amp;""""&amp;SUBSTITUTE(E78,"
",""""&amp;","&amp;"""")&amp;""""&amp;")")</f>
        <v/>
      </c>
    </row>
    <row r="79" spans="1:13">
      <c r="A79" s="8" t="s"/>
      <c r="B79" s="20" t="s"/>
      <c r="C79" s="24" t="s"/>
      <c r="D79" s="22" t="s"/>
      <c r="E79" s="8" t="s"/>
      <c r="F79" s="8" t="s"/>
      <c r="G79" s="24" t="s"/>
      <c r="H79" s="22" t="s"/>
      <c r="I79" s="22" t="s"/>
      <c r="J79" s="18" t="str">
        <f>="VOI_"&amp;A79</f>
        <v>VOI_</v>
      </c>
      <c r="K79" s="18">
        <f>=A79</f>
        <v>0</v>
      </c>
      <c r="L79" s="13" t="str">
        <f>=IF(ISBLANK(F79),"","("&amp;""""&amp;SUBSTITUTE(F79,"
",""""&amp;","&amp;"""")&amp;""""&amp;")")</f>
        <v/>
      </c>
      <c r="M79" s="13" t="str">
        <f>=IF(ISBLANK(E79),"","("&amp;""""&amp;SUBSTITUTE(E79,"
",""""&amp;","&amp;"""")&amp;""""&amp;")")</f>
        <v/>
      </c>
    </row>
    <row r="80" spans="1:13">
      <c r="A80" s="8" t="s"/>
      <c r="B80" s="20" t="s"/>
      <c r="C80" s="24" t="s"/>
      <c r="D80" s="22" t="s"/>
      <c r="E80" s="8" t="s"/>
      <c r="F80" s="8" t="s"/>
      <c r="G80" s="24" t="s"/>
      <c r="H80" s="22" t="s"/>
      <c r="I80" s="22" t="s"/>
      <c r="J80" s="18" t="str">
        <f>="VOI_"&amp;A80</f>
        <v>VOI_</v>
      </c>
      <c r="K80" s="18">
        <f>=A80</f>
        <v>0</v>
      </c>
      <c r="L80" s="13" t="str">
        <f>=IF(ISBLANK(F80),"","("&amp;""""&amp;SUBSTITUTE(F80,"
",""""&amp;","&amp;"""")&amp;""""&amp;")")</f>
        <v/>
      </c>
      <c r="M80" s="13" t="str">
        <f>=IF(ISBLANK(E80),"","("&amp;""""&amp;SUBSTITUTE(E80,"
",""""&amp;","&amp;"""")&amp;""""&amp;")")</f>
        <v/>
      </c>
    </row>
    <row r="81" spans="1:13">
      <c r="A81" s="8" t="s"/>
      <c r="B81" s="20" t="s"/>
      <c r="C81" s="24" t="s"/>
      <c r="D81" s="22" t="s"/>
      <c r="E81" s="8" t="s"/>
      <c r="F81" s="8" t="s"/>
      <c r="G81" s="24" t="s"/>
      <c r="H81" s="22" t="s"/>
      <c r="I81" s="22" t="s"/>
      <c r="J81" s="18" t="str">
        <f>="VOI_"&amp;A81</f>
        <v>VOI_</v>
      </c>
      <c r="K81" s="18">
        <f>=A81</f>
        <v>0</v>
      </c>
      <c r="L81" s="13" t="str">
        <f>=IF(ISBLANK(F81),"","("&amp;""""&amp;SUBSTITUTE(F81,"
",""""&amp;","&amp;"""")&amp;""""&amp;")")</f>
        <v/>
      </c>
      <c r="M81" s="13" t="str">
        <f>=IF(ISBLANK(E81),"","("&amp;""""&amp;SUBSTITUTE(E81,"
",""""&amp;","&amp;"""")&amp;""""&amp;")")</f>
        <v/>
      </c>
    </row>
    <row r="82" spans="1:13">
      <c r="A82" s="8" t="s"/>
      <c r="B82" s="20" t="s"/>
      <c r="C82" s="24" t="s"/>
      <c r="D82" s="22" t="s"/>
      <c r="E82" s="8" t="s"/>
      <c r="F82" s="8" t="s"/>
      <c r="G82" s="24" t="s"/>
      <c r="H82" s="22" t="s"/>
      <c r="I82" s="22" t="s"/>
      <c r="J82" s="18" t="str">
        <f>="VOI_"&amp;A82</f>
        <v>VOI_</v>
      </c>
      <c r="K82" s="18">
        <f>=A82</f>
        <v>0</v>
      </c>
      <c r="L82" s="13" t="str">
        <f>=IF(ISBLANK(F82),"","("&amp;""""&amp;SUBSTITUTE(F82,"
",""""&amp;","&amp;"""")&amp;""""&amp;")")</f>
        <v/>
      </c>
      <c r="M82" s="13" t="str">
        <f>=IF(ISBLANK(E82),"","("&amp;""""&amp;SUBSTITUTE(E82,"
",""""&amp;","&amp;"""")&amp;""""&amp;")")</f>
        <v/>
      </c>
    </row>
    <row r="83" spans="2:7">
      <c r="B83" s="20" t="s"/>
      <c r="C83" s="24" t="s"/>
      <c r="G83" s="24" t="s"/>
    </row>
    <row r="84" spans="2:7">
      <c r="B84" s="20" t="s"/>
      <c r="C84" s="24" t="s"/>
      <c r="G84" s="24" t="s"/>
    </row>
    <row r="85" spans="2:7">
      <c r="B85" s="20" t="s"/>
      <c r="C85" s="24" t="s"/>
      <c r="G85" s="24" t="s"/>
    </row>
    <row r="86" spans="2:7">
      <c r="B86" s="20" t="s"/>
      <c r="C86" s="24" t="s"/>
      <c r="G86" s="24" t="s"/>
    </row>
    <row r="87" spans="2:7">
      <c r="B87" s="20" t="s"/>
      <c r="C87" s="24" t="s"/>
      <c r="G87" s="24" t="s"/>
    </row>
    <row r="88" spans="2:7">
      <c r="B88" s="20" t="s"/>
      <c r="C88" s="24" t="s"/>
      <c r="G88" s="24" t="s"/>
    </row>
    <row r="89" spans="2:7">
      <c r="B89" s="20" t="s"/>
      <c r="C89" s="24" t="s"/>
      <c r="G89" s="24" t="s"/>
    </row>
    <row r="90" spans="2:7">
      <c r="B90" s="20" t="s"/>
      <c r="C90" s="24" t="s"/>
      <c r="G90" s="24" t="s"/>
    </row>
    <row r="91" spans="2:7">
      <c r="B91" s="20" t="s"/>
      <c r="C91" s="24" t="s"/>
      <c r="G91" s="24" t="s"/>
    </row>
    <row r="92" spans="2:7">
      <c r="B92" s="20" t="s"/>
      <c r="C92" s="24" t="s"/>
      <c r="G92" s="24" t="s"/>
    </row>
    <row r="93" spans="2:7">
      <c r="B93" s="20" t="s"/>
      <c r="C93" s="24" t="s"/>
      <c r="G93" s="24" t="s"/>
    </row>
    <row r="94" spans="2:7">
      <c r="B94" s="20" t="s"/>
      <c r="C94" s="24" t="s"/>
      <c r="G94" s="24" t="s"/>
    </row>
    <row r="95" spans="2:7">
      <c r="B95" s="20" t="s"/>
      <c r="C95" s="24" t="s"/>
      <c r="G95" s="24" t="s"/>
    </row>
    <row r="96" spans="2:7">
      <c r="B96" s="20" t="s"/>
      <c r="C96" s="24" t="s"/>
      <c r="G96" s="24" t="s"/>
    </row>
    <row r="97" spans="2:7">
      <c r="B97" s="20" t="s"/>
      <c r="C97" s="24" t="s"/>
      <c r="G97" s="24" t="s"/>
    </row>
    <row r="98" spans="2:7">
      <c r="B98" s="20" t="s"/>
      <c r="C98" s="24" t="s"/>
      <c r="G98" s="24" t="s"/>
    </row>
    <row r="99" spans="2:7">
      <c r="B99" s="20" t="s"/>
      <c r="C99" s="24" t="s"/>
      <c r="G99" s="24" t="s"/>
    </row>
    <row r="100" spans="2:7">
      <c r="B100" s="20" t="s"/>
      <c r="C100" s="24" t="s"/>
      <c r="G100" s="24" t="s"/>
    </row>
    <row r="101" spans="2:7">
      <c r="B101" s="20" t="s"/>
      <c r="C101" s="24" t="s"/>
      <c r="G101" s="24" t="s"/>
    </row>
    <row r="102" spans="2:7">
      <c r="B102" s="20" t="s"/>
      <c r="C102" s="24" t="s"/>
      <c r="G102" s="24" t="s"/>
    </row>
    <row r="103" spans="2:7">
      <c r="B103" s="20" t="s"/>
      <c r="C103" s="24" t="s"/>
      <c r="G103" s="24" t="s"/>
    </row>
    <row r="104" spans="2:7">
      <c r="B104" s="20" t="s"/>
      <c r="C104" s="24" t="s"/>
      <c r="G104" s="24" t="s"/>
    </row>
    <row r="105" spans="2:7">
      <c r="B105" s="20" t="s"/>
      <c r="C105" s="24" t="s"/>
      <c r="G105" s="24" t="s"/>
    </row>
    <row r="106" spans="2:7">
      <c r="B106" s="20" t="s"/>
      <c r="C106" s="24" t="s"/>
      <c r="G106" s="24" t="s"/>
    </row>
    <row r="107" spans="2:7">
      <c r="B107" s="20" t="s"/>
      <c r="C107" s="24" t="s"/>
      <c r="G107" s="24" t="s"/>
    </row>
    <row r="108" spans="2:7">
      <c r="B108" s="20" t="s"/>
      <c r="C108" s="24" t="s"/>
      <c r="G108" s="24" t="s"/>
    </row>
    <row r="109" spans="2:7">
      <c r="B109" s="20" t="s"/>
      <c r="C109" s="24" t="s"/>
      <c r="G109" s="24" t="s"/>
    </row>
    <row r="110" spans="2:7">
      <c r="B110" s="20" t="s"/>
      <c r="C110" s="24" t="s"/>
      <c r="G110" s="24" t="s"/>
    </row>
    <row r="111" spans="2:7">
      <c r="B111" s="20" t="s"/>
      <c r="C111" s="24" t="s"/>
      <c r="G111" s="24" t="s"/>
    </row>
    <row r="112" spans="2:7">
      <c r="B112" s="20" t="s"/>
      <c r="C112" s="24" t="s"/>
      <c r="G112" s="24" t="s"/>
    </row>
    <row r="113" spans="2:7">
      <c r="B113" s="20" t="s"/>
      <c r="C113" s="24" t="s"/>
      <c r="G113" s="24" t="s"/>
    </row>
    <row r="114" spans="2:7">
      <c r="B114" s="20" t="s"/>
      <c r="C114" s="24" t="s"/>
      <c r="G114" s="24" t="s"/>
    </row>
    <row r="115" spans="2:7">
      <c r="B115" s="20" t="s"/>
      <c r="C115" s="24" t="s"/>
      <c r="G115" s="24" t="s"/>
    </row>
    <row r="116" spans="2:7">
      <c r="B116" s="20" t="s"/>
      <c r="C116" s="24" t="s"/>
      <c r="G116" s="24" t="s"/>
    </row>
    <row r="117" spans="2:7">
      <c r="B117" s="20" t="s"/>
      <c r="C117" s="24" t="s"/>
      <c r="G117" s="24" t="s"/>
    </row>
    <row r="118" spans="2:7">
      <c r="B118" s="20" t="s"/>
      <c r="C118" s="24" t="s"/>
      <c r="G118" s="24" t="s"/>
    </row>
    <row r="119" spans="2:7">
      <c r="B119" s="20" t="s"/>
      <c r="C119" s="24" t="s"/>
      <c r="G119" s="24" t="s"/>
    </row>
    <row r="120" spans="2:7">
      <c r="B120" s="20" t="s"/>
      <c r="C120" s="24" t="s"/>
      <c r="G120" s="24" t="s"/>
    </row>
    <row r="121" spans="2:7">
      <c r="B121" s="20" t="s"/>
      <c r="C121" s="24" t="s"/>
      <c r="G121" s="24" t="s"/>
    </row>
    <row r="122" spans="2:7">
      <c r="B122" s="20" t="s"/>
      <c r="C122" s="24" t="s"/>
      <c r="G122" s="24" t="s"/>
    </row>
    <row r="123" spans="2:7">
      <c r="B123" s="20" t="s"/>
      <c r="C123" s="24" t="s"/>
      <c r="G123" s="24" t="s"/>
    </row>
    <row r="124" spans="2:7">
      <c r="B124" s="20" t="s"/>
      <c r="C124" s="24" t="s"/>
      <c r="G124" s="24" t="s"/>
    </row>
    <row r="125" spans="2:7">
      <c r="B125" s="20" t="s"/>
      <c r="C125" s="24" t="s"/>
      <c r="G125" s="24" t="s"/>
    </row>
    <row r="126" spans="2:7">
      <c r="B126" s="20" t="s"/>
      <c r="C126" s="24" t="s"/>
      <c r="G126" s="24" t="s"/>
    </row>
    <row r="127" spans="2:7">
      <c r="B127" s="20" t="s"/>
      <c r="C127" s="24" t="s"/>
      <c r="G127" s="24" t="s"/>
    </row>
    <row r="128" spans="2:7">
      <c r="B128" s="20" t="s"/>
      <c r="C128" s="24" t="s"/>
      <c r="G128" s="24" t="s"/>
    </row>
    <row r="129" spans="2:7">
      <c r="B129" s="20" t="s"/>
      <c r="C129" s="24" t="s"/>
      <c r="G129" s="24" t="s"/>
    </row>
    <row r="130" spans="2:7">
      <c r="B130" s="20" t="s"/>
      <c r="C130" s="24" t="s"/>
      <c r="G130" s="24" t="s"/>
    </row>
    <row r="131" spans="2:7">
      <c r="B131" s="20" t="s"/>
      <c r="C131" s="24" t="s"/>
      <c r="G131" s="24" t="s"/>
    </row>
    <row r="132" spans="2:7">
      <c r="B132" s="20" t="s"/>
      <c r="C132" s="24" t="s"/>
      <c r="G132" s="24" t="s"/>
    </row>
    <row r="133" spans="2:7">
      <c r="B133" s="20" t="s"/>
      <c r="C133" s="24" t="s"/>
      <c r="G133" s="24" t="s"/>
    </row>
    <row r="134" spans="2:7">
      <c r="B134" s="20" t="s"/>
      <c r="C134" s="24" t="s"/>
      <c r="G134" s="24" t="s"/>
    </row>
    <row r="135" spans="2:7">
      <c r="B135" s="20" t="s"/>
      <c r="C135" s="24" t="s"/>
      <c r="G135" s="24" t="s"/>
    </row>
    <row r="136" spans="2:7">
      <c r="B136" s="20" t="s"/>
      <c r="C136" s="24" t="s"/>
      <c r="G136" s="24" t="s"/>
    </row>
    <row r="137" spans="2:7">
      <c r="B137" s="20" t="s"/>
      <c r="C137" s="24" t="s"/>
      <c r="G137" s="24" t="s"/>
    </row>
    <row r="138" spans="2:7">
      <c r="B138" s="20" t="s"/>
      <c r="C138" s="24" t="s"/>
      <c r="G138" s="24" t="s"/>
    </row>
    <row r="139" spans="2:7">
      <c r="B139" s="20" t="s"/>
      <c r="C139" s="24" t="s"/>
      <c r="G139" s="24" t="s"/>
    </row>
    <row r="140" spans="2:7">
      <c r="B140" s="20" t="s"/>
      <c r="C140" s="24" t="s"/>
      <c r="G140" s="24" t="s"/>
    </row>
    <row r="141" spans="2:7">
      <c r="B141" s="20" t="s"/>
      <c r="C141" s="24" t="s"/>
      <c r="G141" s="24" t="s"/>
    </row>
    <row r="142" spans="2:7">
      <c r="B142" s="20" t="s"/>
      <c r="C142" s="24" t="s"/>
      <c r="G142" s="24" t="s"/>
    </row>
    <row r="143" spans="2:7">
      <c r="B143" s="20" t="s"/>
      <c r="C143" s="24" t="s"/>
      <c r="G143" s="24" t="s"/>
    </row>
    <row r="144" spans="2:7">
      <c r="B144" s="20" t="s"/>
      <c r="C144" s="24" t="s"/>
      <c r="G144" s="24" t="s"/>
    </row>
    <row r="145" spans="2:7">
      <c r="B145" s="20" t="s"/>
      <c r="C145" s="24" t="s"/>
      <c r="G145" s="24" t="s"/>
    </row>
    <row r="146" spans="2:7">
      <c r="B146" s="20" t="s"/>
      <c r="C146" s="24" t="s"/>
      <c r="G146" s="24" t="s"/>
    </row>
    <row r="147" spans="2:7">
      <c r="B147" s="20" t="s"/>
      <c r="C147" s="24" t="s"/>
      <c r="G147" s="24" t="s"/>
    </row>
    <row r="148" spans="2:7">
      <c r="B148" s="20" t="s"/>
      <c r="C148" s="24" t="s"/>
      <c r="G148" s="24" t="s"/>
    </row>
    <row r="149" spans="2:7">
      <c r="B149" s="20" t="s"/>
      <c r="C149" s="24" t="s"/>
      <c r="G149" s="24" t="s"/>
    </row>
    <row r="150" spans="2:7">
      <c r="B150" s="20" t="s"/>
      <c r="C150" s="24" t="s"/>
      <c r="G150" s="24" t="s"/>
    </row>
    <row r="151" spans="2:7">
      <c r="B151" s="20" t="s"/>
      <c r="C151" s="24" t="s"/>
      <c r="G151" s="24" t="s"/>
    </row>
    <row r="152" spans="2:7">
      <c r="B152" s="20" t="s"/>
      <c r="C152" s="24" t="s"/>
      <c r="G152" s="24" t="s"/>
    </row>
    <row r="153" spans="2:7">
      <c r="B153" s="20" t="s"/>
      <c r="C153" s="24" t="s"/>
      <c r="G153" s="24" t="s"/>
    </row>
    <row r="154" spans="2:7">
      <c r="B154" s="20" t="s"/>
      <c r="C154" s="24" t="s"/>
      <c r="G154" s="24" t="s"/>
    </row>
    <row r="155" spans="2:7">
      <c r="B155" s="20" t="s"/>
      <c r="C155" s="24" t="s"/>
      <c r="G155" s="24" t="s"/>
    </row>
    <row r="156" spans="2:7">
      <c r="B156" s="20" t="s"/>
      <c r="C156" s="24" t="s"/>
      <c r="G156" s="24" t="s"/>
    </row>
    <row r="157" spans="2:7">
      <c r="B157" s="20" t="s"/>
      <c r="C157" s="24" t="s"/>
      <c r="G157" s="24" t="s"/>
    </row>
    <row r="158" spans="2:7">
      <c r="B158" s="20" t="s"/>
      <c r="C158" s="24" t="s"/>
      <c r="G158" s="24" t="s"/>
    </row>
    <row r="159" spans="2:7">
      <c r="B159" s="20" t="s"/>
      <c r="C159" s="24" t="s"/>
      <c r="G159" s="24" t="s"/>
    </row>
    <row r="160" spans="2:7">
      <c r="B160" s="20" t="s"/>
      <c r="C160" s="24" t="s"/>
      <c r="G160" s="24" t="s"/>
    </row>
    <row r="161" spans="2:7">
      <c r="B161" s="20" t="s"/>
      <c r="C161" s="24" t="s"/>
      <c r="G161" s="24" t="s"/>
    </row>
    <row r="162" spans="2:7">
      <c r="B162" s="20" t="s"/>
      <c r="C162" s="24" t="s"/>
      <c r="G162" s="24" t="s"/>
    </row>
    <row r="163" spans="2:7">
      <c r="B163" s="20" t="s"/>
      <c r="C163" s="24" t="s"/>
      <c r="G163" s="24" t="s"/>
    </row>
    <row r="164" spans="2:7">
      <c r="B164" s="20" t="s"/>
      <c r="C164" s="24" t="s"/>
      <c r="G164" s="24" t="s"/>
    </row>
    <row r="165" spans="2:7">
      <c r="B165" s="20" t="s"/>
      <c r="C165" s="24" t="s"/>
      <c r="G165" s="24" t="s"/>
    </row>
    <row r="166" spans="2:7">
      <c r="B166" s="20" t="s"/>
      <c r="C166" s="24" t="s"/>
      <c r="G166" s="24" t="s"/>
    </row>
    <row r="167" spans="2:7">
      <c r="B167" s="20" t="s"/>
      <c r="C167" s="24" t="s"/>
      <c r="G167" s="24" t="s"/>
    </row>
    <row r="168" spans="2:7">
      <c r="B168" s="20" t="s"/>
      <c r="C168" s="24" t="s"/>
      <c r="G168" s="24" t="s"/>
    </row>
    <row r="169" spans="2:7">
      <c r="B169" s="20" t="s"/>
      <c r="C169" s="24" t="s"/>
      <c r="G169" s="24" t="s"/>
    </row>
    <row r="170" spans="2:7">
      <c r="B170" s="20" t="s"/>
      <c r="C170" s="24" t="s"/>
      <c r="G170" s="24" t="s"/>
    </row>
    <row r="171" spans="2:7">
      <c r="B171" s="20" t="s"/>
      <c r="C171" s="24" t="s"/>
      <c r="G171" s="24" t="s"/>
    </row>
    <row r="172" spans="2:7">
      <c r="B172" s="20" t="s"/>
      <c r="C172" s="24" t="s"/>
      <c r="G172" s="24" t="s"/>
    </row>
    <row r="173" spans="2:7">
      <c r="B173" s="20" t="s"/>
      <c r="C173" s="24" t="s"/>
      <c r="G173" s="24" t="s"/>
    </row>
    <row r="174" spans="2:7">
      <c r="B174" s="20" t="s"/>
      <c r="C174" s="24" t="s"/>
      <c r="G174" s="24" t="s"/>
    </row>
    <row r="175" spans="2:7">
      <c r="B175" s="20" t="s"/>
      <c r="C175" s="24" t="s"/>
      <c r="G175" s="24" t="s"/>
    </row>
    <row r="176" spans="2:7">
      <c r="B176" s="20" t="s"/>
      <c r="C176" s="24" t="s"/>
      <c r="G176" s="24" t="s"/>
    </row>
    <row r="177" spans="2:7">
      <c r="B177" s="20" t="s"/>
      <c r="C177" s="24" t="s"/>
      <c r="G177" s="24" t="s"/>
    </row>
    <row r="178" spans="2:7">
      <c r="B178" s="20" t="s"/>
      <c r="C178" s="24" t="s"/>
      <c r="G178" s="24" t="s"/>
    </row>
    <row r="179" spans="2:7">
      <c r="B179" s="20" t="s"/>
      <c r="C179" s="24" t="s"/>
      <c r="G179" s="24" t="s"/>
    </row>
    <row r="180" spans="2:7">
      <c r="B180" s="20" t="s"/>
      <c r="C180" s="24" t="s"/>
      <c r="G180" s="24" t="s"/>
    </row>
    <row r="181" spans="2:7">
      <c r="B181" s="20" t="s"/>
      <c r="C181" s="24" t="s"/>
      <c r="G181" s="24" t="s"/>
    </row>
    <row r="182" spans="2:7">
      <c r="B182" s="20" t="s"/>
      <c r="C182" s="24" t="s"/>
      <c r="G182" s="24" t="s"/>
    </row>
    <row r="183" spans="2:7">
      <c r="B183" s="20" t="s"/>
      <c r="C183" s="24" t="s"/>
      <c r="G183" s="24" t="s"/>
    </row>
    <row r="184" spans="2:7">
      <c r="B184" s="20" t="s"/>
      <c r="C184" s="24" t="s"/>
      <c r="G184" s="24" t="s"/>
    </row>
    <row r="185" spans="2:7">
      <c r="B185" s="20" t="s"/>
      <c r="C185" s="24" t="s"/>
      <c r="G185" s="24" t="s"/>
    </row>
    <row r="186" spans="2:7">
      <c r="B186" s="20" t="s"/>
      <c r="C186" s="24" t="s"/>
      <c r="G186" s="24" t="s"/>
    </row>
    <row r="187" spans="2:7">
      <c r="B187" s="20" t="s"/>
      <c r="C187" s="24" t="s"/>
      <c r="G187" s="24" t="s"/>
    </row>
    <row r="188" spans="2:7">
      <c r="B188" s="20" t="s"/>
      <c r="C188" s="24" t="s"/>
      <c r="G188" s="24" t="s"/>
    </row>
    <row r="189" spans="2:7">
      <c r="B189" s="20" t="s"/>
      <c r="C189" s="24" t="s"/>
      <c r="G189" s="24" t="s"/>
    </row>
    <row r="190" spans="2:7">
      <c r="B190" s="20" t="s"/>
      <c r="C190" s="24" t="s"/>
      <c r="G190" s="24" t="s"/>
    </row>
    <row r="191" spans="2:7">
      <c r="B191" s="20" t="s"/>
      <c r="C191" s="24" t="s"/>
      <c r="G191" s="24" t="s"/>
    </row>
    <row r="192" spans="2:7">
      <c r="B192" s="20" t="s"/>
      <c r="C192" s="24" t="s"/>
      <c r="G192" s="24" t="s"/>
    </row>
    <row r="193" spans="2:7">
      <c r="B193" s="20" t="s"/>
      <c r="C193" s="24" t="s"/>
      <c r="G193" s="24" t="s"/>
    </row>
    <row r="194" spans="2:7">
      <c r="B194" s="20" t="s"/>
      <c r="C194" s="24" t="s"/>
      <c r="G194" s="24" t="s"/>
    </row>
    <row r="195" spans="2:7">
      <c r="B195" s="20" t="s"/>
      <c r="C195" s="24" t="s"/>
      <c r="G195" s="24" t="s"/>
    </row>
    <row r="196" spans="2:7">
      <c r="B196" s="20" t="s"/>
      <c r="C196" s="24" t="s"/>
      <c r="G196" s="24" t="s"/>
    </row>
    <row r="197" spans="2:7">
      <c r="B197" s="20" t="s"/>
      <c r="C197" s="24" t="s"/>
      <c r="G197" s="24" t="s"/>
    </row>
    <row r="198" spans="2:7">
      <c r="B198" s="20" t="s"/>
      <c r="C198" s="24" t="s"/>
      <c r="G198" s="24" t="s"/>
    </row>
    <row r="199" spans="2:7">
      <c r="B199" s="20" t="s"/>
      <c r="C199" s="24" t="s"/>
      <c r="G199" s="24" t="s"/>
    </row>
    <row r="200" spans="2:7">
      <c r="B200" s="20" t="s"/>
      <c r="C200" s="24" t="s"/>
      <c r="G200" s="24" t="s"/>
    </row>
  </sheetData>
  <dataValidations>
    <dataValidation type="list" errorStyle="stop" operator="between" allowBlank="1" showDropDown="0" showInputMessage="1" showErrorMessage="1" prompt="" sqref="B2:B200">
      <formula1>"早晨,正午,傍晚,深夜,"</formula1>
    </dataValidation>
    <dataValidation type="list" errorStyle="stop" operator="between" allowBlank="1" showDropDown="0" showInputMessage="1" showErrorMessage="1" prompt="" sqref="C2:C200">
      <formula1>人物!$A:$A</formula1>
    </dataValidation>
    <dataValidation type="list" errorStyle="stop" operator="between" allowBlank="1" showDropDown="0" showInputMessage="1" showErrorMessage="1" prompt="" sqref="G2:G200">
      <formula1>立绘!$A$2:$A$200</formula1>
    </dataValidation>
  </dataValidations>
</worksheet>
</file>

<file path=xl/worksheets/sheet3.xml><?xml version="1.0" encoding="utf-8"?>
<worksheet xmlns="http://schemas.openxmlformats.org/spreadsheetml/2006/main">
  <sheetPr codeName="角色立绘序号对照表">
    <tabColor/>
  </sheetPr>
  <dimension ref="B29"/>
  <sheetViews>
    <sheetView showGridLines="1" workbookViewId="0"/>
  </sheetViews>
  <sheetFormatPr baseColWidth="13" defaultRowHeight="18" customHeight="1"/>
  <cols>
    <col min="1" max="1" width="22.1211" customWidth="1"/>
    <col min="2" max="2" width="13.6719" style="79"/>
  </cols>
  <sheetData>
    <row r="1" spans="2:2">
      <c r="B1" s="33" t="s">
        <v>269</v>
      </c>
    </row>
    <row r="2" spans="1:2" s="71" customFormat="1">
      <c r="A2" s="8" t="s">
        <v>270</v>
      </c>
      <c r="B2" s="34" t="s"/>
    </row>
    <row r="3" spans="1:2">
      <c r="A3" s="4" t="s">
        <v>271</v>
      </c>
      <c r="B3" s="33" t="s">
        <v>272</v>
      </c>
    </row>
    <row r="6" spans="1:2" s="70" customFormat="1">
      <c r="A6" s="6" t="s">
        <v>273</v>
      </c>
      <c r="B6" s="35" t="s"/>
    </row>
    <row r="7" spans="1:2">
      <c r="A7" s="4" t="s">
        <v>271</v>
      </c>
      <c r="B7" s="33" t="s">
        <v>272</v>
      </c>
    </row>
    <row r="8" spans="1:2">
      <c r="A8" s="4" t="s">
        <v>274</v>
      </c>
      <c r="B8" s="33" t="s">
        <v>275</v>
      </c>
    </row>
    <row r="9" spans="1:2">
      <c r="A9" s="4" t="s">
        <v>276</v>
      </c>
      <c r="B9" s="33" t="s">
        <v>277</v>
      </c>
    </row>
    <row r="10" spans="1:2">
      <c r="A10" s="4" t="s">
        <v>278</v>
      </c>
      <c r="B10" s="33" t="s">
        <v>279</v>
      </c>
    </row>
    <row r="11" spans="1:2">
      <c r="A11" s="4" t="s">
        <v>280</v>
      </c>
      <c r="B11" s="33" t="s">
        <v>281</v>
      </c>
    </row>
    <row r="13" spans="1:2" s="77" customFormat="1">
      <c r="A13" s="36" t="s">
        <v>282</v>
      </c>
      <c r="B13" s="37" t="s"/>
    </row>
    <row r="14" spans="1:2">
      <c r="A14" s="4" t="s">
        <v>271</v>
      </c>
      <c r="B14" s="33" t="s">
        <v>272</v>
      </c>
    </row>
    <row r="16" spans="1:2" s="78" customFormat="1">
      <c r="A16" s="38" t="s">
        <v>283</v>
      </c>
      <c r="B16" s="39" t="s"/>
    </row>
    <row r="17" spans="1:2">
      <c r="A17" s="4" t="s">
        <v>284</v>
      </c>
      <c r="B17" s="33" t="s">
        <v>272</v>
      </c>
    </row>
    <row r="18" spans="1:2">
      <c r="A18" s="4" t="s">
        <v>285</v>
      </c>
      <c r="B18" s="33" t="s">
        <v>275</v>
      </c>
    </row>
    <row r="19" spans="1:2">
      <c r="A19" s="4" t="s">
        <v>286</v>
      </c>
      <c r="B19" s="33" t="s">
        <v>277</v>
      </c>
    </row>
    <row r="20" spans="1:2">
      <c r="A20" s="4" t="s">
        <v>287</v>
      </c>
      <c r="B20" s="33" t="s">
        <v>279</v>
      </c>
    </row>
    <row r="21" spans="1:2">
      <c r="A21" s="4" t="s">
        <v>136</v>
      </c>
      <c r="B21" s="33" t="s">
        <v>281</v>
      </c>
    </row>
    <row r="22" spans="1:2">
      <c r="A22" s="4" t="s">
        <v>288</v>
      </c>
      <c r="B22" s="33" t="s">
        <v>289</v>
      </c>
    </row>
    <row r="23" spans="1:2">
      <c r="A23" s="4" t="s">
        <v>290</v>
      </c>
      <c r="B23" s="33" t="s">
        <v>291</v>
      </c>
    </row>
    <row r="24" spans="1:2">
      <c r="A24" s="4" t="s">
        <v>292</v>
      </c>
      <c r="B24" s="33" t="s">
        <v>293</v>
      </c>
    </row>
    <row r="25" spans="1:2">
      <c r="A25" s="4" t="s">
        <v>294</v>
      </c>
      <c r="B25" s="33" t="s">
        <v>295</v>
      </c>
    </row>
    <row r="26" spans="1:2">
      <c r="A26" s="4" t="s">
        <v>142</v>
      </c>
      <c r="B26" s="33" t="s">
        <v>296</v>
      </c>
    </row>
    <row r="27" spans="1:2">
      <c r="A27" s="4" t="s">
        <v>297</v>
      </c>
      <c r="B27" s="33" t="s">
        <v>298</v>
      </c>
    </row>
    <row r="28" spans="1:2">
      <c r="A28" s="4" t="s">
        <v>299</v>
      </c>
      <c r="B28" s="33" t="s">
        <v>300</v>
      </c>
    </row>
    <row r="29" spans="1:2">
      <c r="A29" s="4" t="s">
        <v>301</v>
      </c>
      <c r="B29" s="33" t="s">
        <v>302</v>
      </c>
    </row>
  </sheetData>
</worksheet>
</file>

<file path=xl/worksheets/sheet4.xml><?xml version="1.0" encoding="utf-8"?>
<worksheet xmlns="http://schemas.openxmlformats.org/spreadsheetml/2006/main">
  <sheetPr codeName="选项(对话)">
    <tabColor/>
  </sheetPr>
  <dimension ref="K200"/>
  <sheetViews>
    <sheetView showGridLines="1" workbookViewId="0"/>
  </sheetViews>
  <sheetFormatPr baseColWidth="13" defaultRowHeight="18" customHeight="1"/>
  <cols>
    <col min="1" max="1" width="24.1406" style="73" customWidth="1"/>
    <col min="2" max="3" width="23.7422" style="73" customWidth="1"/>
    <col min="4" max="4" width="20.9023" style="73" customWidth="1"/>
    <col min="5" max="7" width="32.6406" style="74" customWidth="1"/>
    <col min="8" max="8" width="25.7617" style="75" customWidth="1"/>
    <col min="9" max="9" width="28.1914" style="75" customWidth="1"/>
    <col min="10" max="10" width="29.9414" style="75" customWidth="1"/>
    <col min="11" max="11" width="29.9414" style="75" customWidth="1"/>
  </cols>
  <sheetData>
    <row r="1" spans="2:11">
      <c r="B1" s="8" t="s">
        <v>303</v>
      </c>
      <c r="C1" s="8" t="s">
        <v>304</v>
      </c>
      <c r="D1" s="8" t="s">
        <v>305</v>
      </c>
      <c r="E1" s="26" t="s">
        <v>115</v>
      </c>
      <c r="F1" s="26" t="s">
        <v>119</v>
      </c>
      <c r="G1" s="26" t="s">
        <v>120</v>
      </c>
      <c r="H1" s="6" t="s">
        <v>306</v>
      </c>
      <c r="I1" s="6" t="s">
        <v>307</v>
      </c>
      <c r="J1" s="6" t="s">
        <v>308</v>
      </c>
      <c r="K1" s="6" t="s">
        <v>309</v>
      </c>
    </row>
    <row r="2" spans="1:11">
      <c r="A2" s="8" t="s"/>
      <c r="B2" s="8" t="s"/>
      <c r="C2" s="8" t="s"/>
      <c r="D2" s="8" t="s"/>
      <c r="H2" s="6" t="str">
        <f>=IF(ISBLANK(B2),"","("&amp;""""&amp;SUBSTITUTE(B2,"
",""""&amp;","&amp;"""")&amp;""""&amp;")")</f>
        <v/>
      </c>
      <c r="I2" s="6" t="str">
        <f>=IF(ISBLANK(C2),"","("&amp;""""&amp;SUBSTITUTE(C2,"
",""""&amp;","&amp;"""")&amp;""""&amp;")")</f>
        <v/>
      </c>
      <c r="J2" s="6" t="str">
        <f>=IF(ISBLANK(D2),"","("&amp;""""&amp;SUBSTITUTE(D2,"
",""""&amp;","&amp;"""")&amp;""""&amp;")")</f>
        <v/>
      </c>
      <c r="K2" s="6">
        <f>=A2</f>
        <v>0</v>
      </c>
    </row>
    <row r="3" spans="1:11">
      <c r="A3" s="8" t="s">
        <v>310</v>
      </c>
      <c r="B3" s="26" t="s"/>
      <c r="C3" s="26" t="s"/>
      <c r="D3" s="26" t="s"/>
      <c r="E3" s="26" t="s">
        <v>311</v>
      </c>
      <c r="F3" s="26" t="s">
        <v>312</v>
      </c>
      <c r="G3" s="26" t="s">
        <v>313</v>
      </c>
      <c r="H3" s="6" t="str">
        <f>=IF(ISBLANK(B3),"","("&amp;""""&amp;SUBSTITUTE(B3,"
",""""&amp;","&amp;"""")&amp;""""&amp;")")</f>
        <v/>
      </c>
      <c r="I3" s="6" t="str">
        <f>=IF(ISBLANK(C3),"","("&amp;""""&amp;SUBSTITUTE(C3,"
",""""&amp;","&amp;"""")&amp;""""&amp;")")</f>
        <v/>
      </c>
      <c r="J3" s="6" t="str">
        <f>=IF(ISBLANK(D3),"","("&amp;""""&amp;SUBSTITUTE(D3,"
",""""&amp;","&amp;"""")&amp;""""&amp;")")</f>
        <v/>
      </c>
      <c r="K3" s="6" t="str">
        <f>=A3</f>
        <v>OPT_Test_001-A</v>
      </c>
    </row>
    <row r="4" spans="1:11">
      <c r="A4" s="8" t="s">
        <v>314</v>
      </c>
      <c r="B4" s="8" t="s"/>
      <c r="C4" s="8" t="s"/>
      <c r="D4" s="8" t="s"/>
      <c r="E4" s="26" t="s">
        <v>315</v>
      </c>
      <c r="F4" s="26" t="s">
        <v>316</v>
      </c>
      <c r="G4" s="26" t="s">
        <v>317</v>
      </c>
      <c r="H4" s="6" t="str">
        <f>=IF(ISBLANK(B4),"","("&amp;""""&amp;SUBSTITUTE(B4,"
",""""&amp;","&amp;"""")&amp;""""&amp;")")</f>
        <v/>
      </c>
      <c r="I4" s="6" t="str">
        <f>=IF(ISBLANK(C4),"","("&amp;""""&amp;SUBSTITUTE(C4,"
",""""&amp;","&amp;"""")&amp;""""&amp;")")</f>
        <v/>
      </c>
      <c r="J4" s="6" t="str">
        <f>=IF(ISBLANK(D4),"","("&amp;""""&amp;SUBSTITUTE(D4,"
",""""&amp;","&amp;"""")&amp;""""&amp;")")</f>
        <v/>
      </c>
      <c r="K4" s="6" t="str">
        <f>=A4</f>
        <v>OPT_Test_001-B</v>
      </c>
    </row>
    <row r="5" spans="1:11">
      <c r="A5" s="8" t="s"/>
      <c r="B5" s="8" t="s"/>
      <c r="C5" s="8" t="s"/>
      <c r="D5" s="8" t="s"/>
      <c r="E5" s="26" t="s"/>
      <c r="H5" s="6" t="s"/>
      <c r="I5" s="6" t="s"/>
      <c r="J5" s="6" t="s"/>
      <c r="K5" s="6">
        <f>=A5</f>
        <v>0</v>
      </c>
    </row>
    <row r="6" spans="1:11">
      <c r="A6" s="8" t="s">
        <v>318</v>
      </c>
      <c r="B6" s="8" t="s"/>
      <c r="C6" s="8" t="s"/>
      <c r="D6" s="8" t="s"/>
      <c r="E6" s="26" t="s">
        <v>319</v>
      </c>
      <c r="F6" s="30" t="s">
        <v>320</v>
      </c>
      <c r="G6" s="30" t="s">
        <v>321</v>
      </c>
      <c r="H6" s="40" t="str">
        <f>=IF(ISBLANK(B6),"","("&amp;""""&amp;SUBSTITUTE(B6,"
",""""&amp;","&amp;"""")&amp;""""&amp;")")</f>
        <v/>
      </c>
      <c r="I6" s="40" t="str">
        <f>=IF(ISBLANK(C6),"","("&amp;""""&amp;SUBSTITUTE(C6,"
",""""&amp;","&amp;"""")&amp;""""&amp;")")</f>
        <v/>
      </c>
      <c r="J6" s="6" t="str">
        <f>=IF(ISBLANK(D6),"","("&amp;""""&amp;SUBSTITUTE(D6,"
",""""&amp;","&amp;"""")&amp;""""&amp;")")</f>
        <v/>
      </c>
      <c r="K6" s="6" t="str">
        <f>=A6</f>
        <v>OPT_Test_002-A</v>
      </c>
    </row>
    <row r="7" spans="1:11">
      <c r="A7" s="8" t="s">
        <v>322</v>
      </c>
      <c r="B7" s="8" t="s"/>
      <c r="C7" s="8" t="s"/>
      <c r="D7" s="8" t="s"/>
      <c r="E7" s="26" t="s">
        <v>323</v>
      </c>
      <c r="F7" s="30" t="s">
        <v>324</v>
      </c>
      <c r="G7" s="30" t="s">
        <v>325</v>
      </c>
      <c r="H7" s="41" t="str">
        <f>=IF(ISBLANK(B7),"","("&amp;""""&amp;SUBSTITUTE(B7,"
",""""&amp;","&amp;"""")&amp;""""&amp;")")</f>
        <v/>
      </c>
      <c r="I7" s="41" t="str">
        <f>=IF(ISBLANK(C7),"","("&amp;""""&amp;SUBSTITUTE(C7,"
",""""&amp;","&amp;"""")&amp;""""&amp;")")</f>
        <v/>
      </c>
      <c r="J7" s="6" t="str">
        <f>=IF(ISBLANK(D7),"","("&amp;""""&amp;SUBSTITUTE(D7,"
",""""&amp;","&amp;"""")&amp;""""&amp;")")</f>
        <v/>
      </c>
      <c r="K7" s="6" t="str">
        <f>=A7</f>
        <v>OPT_Test_002-B</v>
      </c>
    </row>
    <row r="8" spans="1:11">
      <c r="A8" s="8" t="s"/>
      <c r="B8" s="8" t="s"/>
      <c r="C8" s="8" t="s"/>
      <c r="D8" s="8" t="s"/>
      <c r="E8" s="26" t="s"/>
      <c r="F8" s="26" t="s"/>
      <c r="G8" s="26" t="s"/>
      <c r="H8" s="6" t="str">
        <f>=IF(ISBLANK(B8),"","("&amp;""""&amp;SUBSTITUTE(B8,"
",""""&amp;","&amp;"""")&amp;""""&amp;")")</f>
        <v/>
      </c>
      <c r="I8" s="6" t="str">
        <f>=IF(ISBLANK(C8),"","("&amp;""""&amp;SUBSTITUTE(C8,"
",""""&amp;","&amp;"""")&amp;""""&amp;")")</f>
        <v/>
      </c>
      <c r="J8" s="6" t="str">
        <f>=IF(ISBLANK(D8),"","("&amp;""""&amp;SUBSTITUTE(D8,"
",""""&amp;","&amp;"""")&amp;""""&amp;")")</f>
        <v/>
      </c>
      <c r="K8" s="6">
        <f>=A8</f>
        <v>0</v>
      </c>
    </row>
    <row r="9" spans="1:11">
      <c r="A9" s="8" t="s"/>
      <c r="B9" s="8" t="s"/>
      <c r="C9" s="8" t="s"/>
      <c r="D9" s="8" t="s"/>
      <c r="E9" s="26" t="s"/>
      <c r="F9" s="26" t="s"/>
      <c r="G9" s="26" t="s"/>
      <c r="H9" s="6" t="str">
        <f>=IF(ISBLANK(B9),"","("&amp;""""&amp;SUBSTITUTE(B9,"
",""""&amp;","&amp;"""")&amp;""""&amp;")")</f>
        <v/>
      </c>
      <c r="I9" s="6" t="str">
        <f>=IF(ISBLANK(C9),"","("&amp;""""&amp;SUBSTITUTE(C9,"
",""""&amp;","&amp;"""")&amp;""""&amp;")")</f>
        <v/>
      </c>
      <c r="J9" s="6" t="str">
        <f>=IF(ISBLANK(D9),"","("&amp;""""&amp;SUBSTITUTE(D9,"
",""""&amp;","&amp;"""")&amp;""""&amp;")")</f>
        <v/>
      </c>
      <c r="K9" s="6">
        <f>=A9</f>
        <v>0</v>
      </c>
    </row>
    <row r="10" spans="2:11">
      <c r="B10" s="8" t="s"/>
      <c r="C10" s="8" t="s"/>
      <c r="D10" s="8" t="s"/>
      <c r="H10" s="6" t="str">
        <f>=IF(ISBLANK(B10),"","("&amp;""""&amp;SUBSTITUTE(B10,"
",""""&amp;","&amp;"""")&amp;""""&amp;")")</f>
        <v/>
      </c>
      <c r="I10" s="6" t="str">
        <f>=IF(ISBLANK(C10),"","("&amp;""""&amp;SUBSTITUTE(C10,"
",""""&amp;","&amp;"""")&amp;""""&amp;")")</f>
        <v/>
      </c>
      <c r="J10" s="6" t="str">
        <f>=IF(ISBLANK(D10),"","("&amp;""""&amp;SUBSTITUTE(D10,"
",""""&amp;","&amp;"""")&amp;""""&amp;")")</f>
        <v/>
      </c>
      <c r="K10" s="6">
        <f>=A10</f>
        <v>0</v>
      </c>
    </row>
    <row r="11" spans="2:11">
      <c r="B11" s="8" t="s"/>
      <c r="C11" s="8" t="s"/>
      <c r="D11" s="8" t="s"/>
      <c r="H11" s="6" t="str">
        <f>=IF(ISBLANK(B11),"","("&amp;""""&amp;SUBSTITUTE(B11,"
",""""&amp;","&amp;"""")&amp;""""&amp;")")</f>
        <v/>
      </c>
      <c r="I11" s="6" t="str">
        <f>=IF(ISBLANK(C11),"","("&amp;""""&amp;SUBSTITUTE(C11,"
",""""&amp;","&amp;"""")&amp;""""&amp;")")</f>
        <v/>
      </c>
      <c r="J11" s="6" t="str">
        <f>=IF(ISBLANK(D11),"","("&amp;""""&amp;SUBSTITUTE(D11,"
",""""&amp;","&amp;"""")&amp;""""&amp;")")</f>
        <v/>
      </c>
      <c r="K11" s="6">
        <f>=A11</f>
        <v>0</v>
      </c>
    </row>
    <row r="12" spans="2:11">
      <c r="B12" s="8" t="s"/>
      <c r="C12" s="8" t="s"/>
      <c r="D12" s="8" t="s"/>
      <c r="H12" s="6" t="str">
        <f>=IF(ISBLANK(B12),"","("&amp;""""&amp;SUBSTITUTE(B12,"
",""""&amp;","&amp;"""")&amp;""""&amp;")")</f>
        <v/>
      </c>
      <c r="I12" s="6" t="str">
        <f>=IF(ISBLANK(C12),"","("&amp;""""&amp;SUBSTITUTE(C12,"
",""""&amp;","&amp;"""")&amp;""""&amp;")")</f>
        <v/>
      </c>
      <c r="J12" s="6" t="str">
        <f>=IF(ISBLANK(D12),"","("&amp;""""&amp;SUBSTITUTE(D12,"
",""""&amp;","&amp;"""")&amp;""""&amp;")")</f>
        <v/>
      </c>
      <c r="K12" s="6">
        <f>=A12</f>
        <v>0</v>
      </c>
    </row>
    <row r="13" spans="2:11">
      <c r="B13" s="8" t="s"/>
      <c r="C13" s="8" t="s"/>
      <c r="D13" s="8" t="s"/>
      <c r="H13" s="6" t="str">
        <f>=IF(ISBLANK(B13),"","("&amp;""""&amp;SUBSTITUTE(B13,"
",""""&amp;","&amp;"""")&amp;""""&amp;")")</f>
        <v/>
      </c>
      <c r="I13" s="6" t="str">
        <f>=IF(ISBLANK(C13),"","("&amp;""""&amp;SUBSTITUTE(C13,"
",""""&amp;","&amp;"""")&amp;""""&amp;")")</f>
        <v/>
      </c>
      <c r="J13" s="6" t="str">
        <f>=IF(ISBLANK(D13),"","("&amp;""""&amp;SUBSTITUTE(D13,"
",""""&amp;","&amp;"""")&amp;""""&amp;")")</f>
        <v/>
      </c>
      <c r="K13" s="6">
        <f>=A13</f>
        <v>0</v>
      </c>
    </row>
    <row r="14" spans="2:11">
      <c r="B14" s="8" t="s"/>
      <c r="C14" s="8" t="s"/>
      <c r="D14" s="8" t="s"/>
      <c r="H14" s="6" t="str">
        <f>=IF(ISBLANK(B14),"","("&amp;""""&amp;SUBSTITUTE(B14,"
",""""&amp;","&amp;"""")&amp;""""&amp;")")</f>
        <v/>
      </c>
      <c r="I14" s="6" t="str">
        <f>=IF(ISBLANK(C14),"","("&amp;""""&amp;SUBSTITUTE(C14,"
",""""&amp;","&amp;"""")&amp;""""&amp;")")</f>
        <v/>
      </c>
      <c r="J14" s="6" t="str">
        <f>=IF(ISBLANK(D14),"","("&amp;""""&amp;SUBSTITUTE(D14,"
",""""&amp;","&amp;"""")&amp;""""&amp;")")</f>
        <v/>
      </c>
      <c r="K14" s="6">
        <f>=A14</f>
        <v>0</v>
      </c>
    </row>
    <row r="15" spans="2:11">
      <c r="B15" s="8" t="s"/>
      <c r="C15" s="8" t="s"/>
      <c r="D15" s="8" t="s"/>
      <c r="H15" s="6" t="str">
        <f>=IF(ISBLANK(B15),"","("&amp;""""&amp;SUBSTITUTE(B15,"
",""""&amp;","&amp;"""")&amp;""""&amp;")")</f>
        <v/>
      </c>
      <c r="I15" s="6" t="str">
        <f>=IF(ISBLANK(C15),"","("&amp;""""&amp;SUBSTITUTE(C15,"
",""""&amp;","&amp;"""")&amp;""""&amp;")")</f>
        <v/>
      </c>
      <c r="J15" s="6" t="str">
        <f>=IF(ISBLANK(D15),"","("&amp;""""&amp;SUBSTITUTE(D15,"
",""""&amp;","&amp;"""")&amp;""""&amp;")")</f>
        <v/>
      </c>
      <c r="K15" s="6">
        <f>=A15</f>
        <v>0</v>
      </c>
    </row>
    <row r="16" spans="2:11">
      <c r="B16" s="8" t="s"/>
      <c r="C16" s="8" t="s"/>
      <c r="D16" s="8" t="s"/>
      <c r="H16" s="6" t="str">
        <f>=IF(ISBLANK(B16),"","("&amp;""""&amp;SUBSTITUTE(B16,"
",""""&amp;","&amp;"""")&amp;""""&amp;")")</f>
        <v/>
      </c>
      <c r="I16" s="6" t="str">
        <f>=IF(ISBLANK(C16),"","("&amp;""""&amp;SUBSTITUTE(C16,"
",""""&amp;","&amp;"""")&amp;""""&amp;")")</f>
        <v/>
      </c>
      <c r="J16" s="6" t="str">
        <f>=IF(ISBLANK(D16),"","("&amp;""""&amp;SUBSTITUTE(D16,"
",""""&amp;","&amp;"""")&amp;""""&amp;")")</f>
        <v/>
      </c>
      <c r="K16" s="6">
        <f>=A16</f>
        <v>0</v>
      </c>
    </row>
    <row r="17" spans="2:11">
      <c r="B17" s="8" t="s"/>
      <c r="C17" s="8" t="s"/>
      <c r="D17" s="8" t="s"/>
      <c r="H17" s="6" t="str">
        <f>=IF(ISBLANK(B17),"","("&amp;""""&amp;SUBSTITUTE(B17,"
",""""&amp;","&amp;"""")&amp;""""&amp;")")</f>
        <v/>
      </c>
      <c r="I17" s="6" t="str">
        <f>=IF(ISBLANK(C17),"","("&amp;""""&amp;SUBSTITUTE(C17,"
",""""&amp;","&amp;"""")&amp;""""&amp;")")</f>
        <v/>
      </c>
      <c r="J17" s="6" t="str">
        <f>=IF(ISBLANK(D17),"","("&amp;""""&amp;SUBSTITUTE(D17,"
",""""&amp;","&amp;"""")&amp;""""&amp;")")</f>
        <v/>
      </c>
      <c r="K17" s="6">
        <f>=A17</f>
        <v>0</v>
      </c>
    </row>
    <row r="18" spans="2:11">
      <c r="B18" s="8" t="s"/>
      <c r="C18" s="8" t="s"/>
      <c r="D18" s="8" t="s"/>
      <c r="H18" s="6" t="str">
        <f>=IF(ISBLANK(B18),"","("&amp;""""&amp;SUBSTITUTE(B18,"
",""""&amp;","&amp;"""")&amp;""""&amp;")")</f>
        <v/>
      </c>
      <c r="I18" s="6" t="str">
        <f>=IF(ISBLANK(C18),"","("&amp;""""&amp;SUBSTITUTE(C18,"
",""""&amp;","&amp;"""")&amp;""""&amp;")")</f>
        <v/>
      </c>
      <c r="J18" s="6" t="str">
        <f>=IF(ISBLANK(D18),"","("&amp;""""&amp;SUBSTITUTE(D18,"
",""""&amp;","&amp;"""")&amp;""""&amp;")")</f>
        <v/>
      </c>
      <c r="K18" s="6">
        <f>=A18</f>
        <v>0</v>
      </c>
    </row>
    <row r="19" spans="2:11">
      <c r="B19" s="8" t="s"/>
      <c r="C19" s="8" t="s"/>
      <c r="D19" s="8" t="s"/>
      <c r="H19" s="6" t="str">
        <f>=IF(ISBLANK(B19),"","("&amp;""""&amp;SUBSTITUTE(B19,"
",""""&amp;","&amp;"""")&amp;""""&amp;")")</f>
        <v/>
      </c>
      <c r="I19" s="6" t="str">
        <f>=IF(ISBLANK(C19),"","("&amp;""""&amp;SUBSTITUTE(C19,"
",""""&amp;","&amp;"""")&amp;""""&amp;")")</f>
        <v/>
      </c>
      <c r="J19" s="6" t="str">
        <f>=IF(ISBLANK(D19),"","("&amp;""""&amp;SUBSTITUTE(D19,"
",""""&amp;","&amp;"""")&amp;""""&amp;")")</f>
        <v/>
      </c>
      <c r="K19" s="6">
        <f>=A19</f>
        <v>0</v>
      </c>
    </row>
    <row r="20" spans="2:11">
      <c r="B20" s="8" t="s"/>
      <c r="C20" s="8" t="s"/>
      <c r="D20" s="8" t="s"/>
      <c r="H20" s="6" t="str">
        <f>=IF(ISBLANK(B20),"","("&amp;""""&amp;SUBSTITUTE(B20,"
",""""&amp;","&amp;"""")&amp;""""&amp;")")</f>
        <v/>
      </c>
      <c r="I20" s="6" t="str">
        <f>=IF(ISBLANK(C20),"","("&amp;""""&amp;SUBSTITUTE(C20,"
",""""&amp;","&amp;"""")&amp;""""&amp;")")</f>
        <v/>
      </c>
      <c r="J20" s="6" t="str">
        <f>=IF(ISBLANK(D20),"","("&amp;""""&amp;SUBSTITUTE(D20,"
",""""&amp;","&amp;"""")&amp;""""&amp;")")</f>
        <v/>
      </c>
      <c r="K20" s="6">
        <f>=A20</f>
        <v>0</v>
      </c>
    </row>
    <row r="21" spans="2:11">
      <c r="B21" s="8" t="s"/>
      <c r="C21" s="8" t="s"/>
      <c r="D21" s="8" t="s"/>
      <c r="H21" s="6" t="str">
        <f>=IF(ISBLANK(B21),"","("&amp;""""&amp;SUBSTITUTE(B21,"
",""""&amp;","&amp;"""")&amp;""""&amp;")")</f>
        <v/>
      </c>
      <c r="I21" s="6" t="str">
        <f>=IF(ISBLANK(C21),"","("&amp;""""&amp;SUBSTITUTE(C21,"
",""""&amp;","&amp;"""")&amp;""""&amp;")")</f>
        <v/>
      </c>
      <c r="J21" s="6" t="str">
        <f>=IF(ISBLANK(D21),"","("&amp;""""&amp;SUBSTITUTE(D21,"
",""""&amp;","&amp;"""")&amp;""""&amp;")")</f>
        <v/>
      </c>
      <c r="K21" s="6">
        <f>=A21</f>
        <v>0</v>
      </c>
    </row>
    <row r="22" spans="2:11">
      <c r="B22" s="8" t="s"/>
      <c r="C22" s="8" t="s"/>
      <c r="D22" s="8" t="s"/>
      <c r="H22" s="6" t="str">
        <f>=IF(ISBLANK(B22),"","("&amp;""""&amp;SUBSTITUTE(B22,"
",""""&amp;","&amp;"""")&amp;""""&amp;")")</f>
        <v/>
      </c>
      <c r="I22" s="6" t="str">
        <f>=IF(ISBLANK(C22),"","("&amp;""""&amp;SUBSTITUTE(C22,"
",""""&amp;","&amp;"""")&amp;""""&amp;")")</f>
        <v/>
      </c>
      <c r="J22" s="6" t="str">
        <f>=IF(ISBLANK(D22),"","("&amp;""""&amp;SUBSTITUTE(D22,"
",""""&amp;","&amp;"""")&amp;""""&amp;")")</f>
        <v/>
      </c>
      <c r="K22" s="6">
        <f>=A22</f>
        <v>0</v>
      </c>
    </row>
    <row r="23" spans="2:11">
      <c r="B23" s="8" t="s"/>
      <c r="C23" s="8" t="s"/>
      <c r="D23" s="8" t="s"/>
      <c r="H23" s="6" t="str">
        <f>=IF(ISBLANK(B23),"","("&amp;""""&amp;SUBSTITUTE(B23,"
",""""&amp;","&amp;"""")&amp;""""&amp;")")</f>
        <v/>
      </c>
      <c r="I23" s="6" t="str">
        <f>=IF(ISBLANK(C23),"","("&amp;""""&amp;SUBSTITUTE(C23,"
",""""&amp;","&amp;"""")&amp;""""&amp;")")</f>
        <v/>
      </c>
      <c r="J23" s="6" t="str">
        <f>=IF(ISBLANK(D23),"","("&amp;""""&amp;SUBSTITUTE(D23,"
",""""&amp;","&amp;"""")&amp;""""&amp;")")</f>
        <v/>
      </c>
      <c r="K23" s="6">
        <f>=A23</f>
        <v>0</v>
      </c>
    </row>
    <row r="24" spans="2:11">
      <c r="B24" s="8" t="s"/>
      <c r="C24" s="8" t="s"/>
      <c r="D24" s="8" t="s"/>
      <c r="H24" s="6" t="str">
        <f>=IF(ISBLANK(B24),"","("&amp;""""&amp;SUBSTITUTE(B24,"
",""""&amp;","&amp;"""")&amp;""""&amp;")")</f>
        <v/>
      </c>
      <c r="I24" s="6" t="str">
        <f>=IF(ISBLANK(C24),"","("&amp;""""&amp;SUBSTITUTE(C24,"
",""""&amp;","&amp;"""")&amp;""""&amp;")")</f>
        <v/>
      </c>
      <c r="J24" s="6" t="str">
        <f>=IF(ISBLANK(D24),"","("&amp;""""&amp;SUBSTITUTE(D24,"
",""""&amp;","&amp;"""")&amp;""""&amp;")")</f>
        <v/>
      </c>
      <c r="K24" s="6">
        <f>=A24</f>
        <v>0</v>
      </c>
    </row>
    <row r="25" spans="2:11">
      <c r="B25" s="8" t="s"/>
      <c r="C25" s="8" t="s"/>
      <c r="D25" s="8" t="s"/>
      <c r="H25" s="6" t="str">
        <f>=IF(ISBLANK(B25),"","("&amp;""""&amp;SUBSTITUTE(B25,"
",""""&amp;","&amp;"""")&amp;""""&amp;")")</f>
        <v/>
      </c>
      <c r="I25" s="6" t="str">
        <f>=IF(ISBLANK(C25),"","("&amp;""""&amp;SUBSTITUTE(C25,"
",""""&amp;","&amp;"""")&amp;""""&amp;")")</f>
        <v/>
      </c>
      <c r="J25" s="6" t="str">
        <f>=IF(ISBLANK(D25),"","("&amp;""""&amp;SUBSTITUTE(D25,"
",""""&amp;","&amp;"""")&amp;""""&amp;")")</f>
        <v/>
      </c>
      <c r="K25" s="6">
        <f>=A25</f>
        <v>0</v>
      </c>
    </row>
    <row r="26" spans="2:11">
      <c r="B26" s="8" t="s"/>
      <c r="C26" s="8" t="s"/>
      <c r="D26" s="8" t="s"/>
      <c r="H26" s="6" t="str">
        <f>=IF(ISBLANK(B26),"","("&amp;""""&amp;SUBSTITUTE(B26,"
",""""&amp;","&amp;"""")&amp;""""&amp;")")</f>
        <v/>
      </c>
      <c r="I26" s="6" t="str">
        <f>=IF(ISBLANK(C26),"","("&amp;""""&amp;SUBSTITUTE(C26,"
",""""&amp;","&amp;"""")&amp;""""&amp;")")</f>
        <v/>
      </c>
      <c r="J26" s="6" t="str">
        <f>=IF(ISBLANK(D26),"","("&amp;""""&amp;SUBSTITUTE(D26,"
",""""&amp;","&amp;"""")&amp;""""&amp;")")</f>
        <v/>
      </c>
      <c r="K26" s="6">
        <f>=A26</f>
        <v>0</v>
      </c>
    </row>
    <row r="27" spans="2:11">
      <c r="B27" s="8" t="s"/>
      <c r="C27" s="8" t="s"/>
      <c r="D27" s="8" t="s"/>
      <c r="H27" s="6" t="str">
        <f>=IF(ISBLANK(B27),"","("&amp;""""&amp;SUBSTITUTE(B27,"
",""""&amp;","&amp;"""")&amp;""""&amp;")")</f>
        <v/>
      </c>
      <c r="I27" s="6" t="str">
        <f>=IF(ISBLANK(C27),"","("&amp;""""&amp;SUBSTITUTE(C27,"
",""""&amp;","&amp;"""")&amp;""""&amp;")")</f>
        <v/>
      </c>
      <c r="J27" s="6" t="str">
        <f>=IF(ISBLANK(D27),"","("&amp;""""&amp;SUBSTITUTE(D27,"
",""""&amp;","&amp;"""")&amp;""""&amp;")")</f>
        <v/>
      </c>
      <c r="K27" s="6">
        <f>=A27</f>
        <v>0</v>
      </c>
    </row>
    <row r="28" spans="2:11">
      <c r="B28" s="8" t="s"/>
      <c r="C28" s="8" t="s"/>
      <c r="D28" s="8" t="s"/>
      <c r="H28" s="6" t="str">
        <f>=IF(ISBLANK(B28),"","("&amp;""""&amp;SUBSTITUTE(B28,"
",""""&amp;","&amp;"""")&amp;""""&amp;")")</f>
        <v/>
      </c>
      <c r="I28" s="6" t="str">
        <f>=IF(ISBLANK(C28),"","("&amp;""""&amp;SUBSTITUTE(C28,"
",""""&amp;","&amp;"""")&amp;""""&amp;")")</f>
        <v/>
      </c>
      <c r="J28" s="6" t="str">
        <f>=IF(ISBLANK(D28),"","("&amp;""""&amp;SUBSTITUTE(D28,"
",""""&amp;","&amp;"""")&amp;""""&amp;")")</f>
        <v/>
      </c>
      <c r="K28" s="6">
        <f>=A28</f>
        <v>0</v>
      </c>
    </row>
    <row r="29" spans="2:11">
      <c r="B29" s="8" t="s"/>
      <c r="C29" s="8" t="s"/>
      <c r="D29" s="8" t="s"/>
      <c r="H29" s="6" t="str">
        <f>=IF(ISBLANK(B29),"","("&amp;""""&amp;SUBSTITUTE(B29,"
",""""&amp;","&amp;"""")&amp;""""&amp;")")</f>
        <v/>
      </c>
      <c r="I29" s="6" t="str">
        <f>=IF(ISBLANK(C29),"","("&amp;""""&amp;SUBSTITUTE(C29,"
",""""&amp;","&amp;"""")&amp;""""&amp;")")</f>
        <v/>
      </c>
      <c r="J29" s="6" t="str">
        <f>=IF(ISBLANK(D29),"","("&amp;""""&amp;SUBSTITUTE(D29,"
",""""&amp;","&amp;"""")&amp;""""&amp;")")</f>
        <v/>
      </c>
      <c r="K29" s="6">
        <f>=A29</f>
        <v>0</v>
      </c>
    </row>
    <row r="30" spans="2:11">
      <c r="B30" s="8" t="s"/>
      <c r="C30" s="8" t="s"/>
      <c r="D30" s="8" t="s"/>
      <c r="H30" s="6" t="str">
        <f>=IF(ISBLANK(B30),"","("&amp;""""&amp;SUBSTITUTE(B30,"
",""""&amp;","&amp;"""")&amp;""""&amp;")")</f>
        <v/>
      </c>
      <c r="I30" s="6" t="str">
        <f>=IF(ISBLANK(C30),"","("&amp;""""&amp;SUBSTITUTE(C30,"
",""""&amp;","&amp;"""")&amp;""""&amp;")")</f>
        <v/>
      </c>
      <c r="J30" s="6" t="str">
        <f>=IF(ISBLANK(D30),"","("&amp;""""&amp;SUBSTITUTE(D30,"
",""""&amp;","&amp;"""")&amp;""""&amp;")")</f>
        <v/>
      </c>
      <c r="K30" s="6">
        <f>=A30</f>
        <v>0</v>
      </c>
    </row>
    <row r="31" spans="2:11">
      <c r="B31" s="8" t="s"/>
      <c r="C31" s="8" t="s"/>
      <c r="D31" s="8" t="s"/>
      <c r="H31" s="6" t="str">
        <f>=IF(ISBLANK(B31),"","("&amp;""""&amp;SUBSTITUTE(B31,"
",""""&amp;","&amp;"""")&amp;""""&amp;")")</f>
        <v/>
      </c>
      <c r="I31" s="6" t="str">
        <f>=IF(ISBLANK(C31),"","("&amp;""""&amp;SUBSTITUTE(C31,"
",""""&amp;","&amp;"""")&amp;""""&amp;")")</f>
        <v/>
      </c>
      <c r="J31" s="6" t="str">
        <f>=IF(ISBLANK(D31),"","("&amp;""""&amp;SUBSTITUTE(D31,"
",""""&amp;","&amp;"""")&amp;""""&amp;")")</f>
        <v/>
      </c>
      <c r="K31" s="6">
        <f>=A31</f>
        <v>0</v>
      </c>
    </row>
    <row r="32" spans="2:11">
      <c r="B32" s="8" t="s"/>
      <c r="C32" s="8" t="s"/>
      <c r="D32" s="8" t="s"/>
      <c r="H32" s="6" t="str">
        <f>=IF(ISBLANK(B32),"","("&amp;""""&amp;SUBSTITUTE(B32,"
",""""&amp;","&amp;"""")&amp;""""&amp;")")</f>
        <v/>
      </c>
      <c r="I32" s="6" t="str">
        <f>=IF(ISBLANK(C32),"","("&amp;""""&amp;SUBSTITUTE(C32,"
",""""&amp;","&amp;"""")&amp;""""&amp;")")</f>
        <v/>
      </c>
      <c r="J32" s="6" t="str">
        <f>=IF(ISBLANK(D32),"","("&amp;""""&amp;SUBSTITUTE(D32,"
",""""&amp;","&amp;"""")&amp;""""&amp;")")</f>
        <v/>
      </c>
      <c r="K32" s="6">
        <f>=A32</f>
        <v>0</v>
      </c>
    </row>
    <row r="33" spans="2:11">
      <c r="B33" s="8" t="s"/>
      <c r="C33" s="8" t="s"/>
      <c r="D33" s="8" t="s"/>
      <c r="H33" s="6" t="str">
        <f>=IF(ISBLANK(B33),"","("&amp;""""&amp;SUBSTITUTE(B33,"
",""""&amp;","&amp;"""")&amp;""""&amp;")")</f>
        <v/>
      </c>
      <c r="I33" s="6" t="str">
        <f>=IF(ISBLANK(C33),"","("&amp;""""&amp;SUBSTITUTE(C33,"
",""""&amp;","&amp;"""")&amp;""""&amp;")")</f>
        <v/>
      </c>
      <c r="J33" s="6" t="str">
        <f>=IF(ISBLANK(D33),"","("&amp;""""&amp;SUBSTITUTE(D33,"
",""""&amp;","&amp;"""")&amp;""""&amp;")")</f>
        <v/>
      </c>
      <c r="K33" s="6">
        <f>=A33</f>
        <v>0</v>
      </c>
    </row>
    <row r="34" spans="2:11">
      <c r="B34" s="8" t="s"/>
      <c r="C34" s="8" t="s"/>
      <c r="D34" s="8" t="s"/>
      <c r="H34" s="6" t="str">
        <f>=IF(ISBLANK(B34),"","("&amp;""""&amp;SUBSTITUTE(B34,"
",""""&amp;","&amp;"""")&amp;""""&amp;")")</f>
        <v/>
      </c>
      <c r="I34" s="6" t="str">
        <f>=IF(ISBLANK(C34),"","("&amp;""""&amp;SUBSTITUTE(C34,"
",""""&amp;","&amp;"""")&amp;""""&amp;")")</f>
        <v/>
      </c>
      <c r="J34" s="6" t="str">
        <f>=IF(ISBLANK(D34),"","("&amp;""""&amp;SUBSTITUTE(D34,"
",""""&amp;","&amp;"""")&amp;""""&amp;")")</f>
        <v/>
      </c>
      <c r="K34" s="6">
        <f>=A34</f>
        <v>0</v>
      </c>
    </row>
    <row r="35" spans="2:11">
      <c r="B35" s="8" t="s"/>
      <c r="C35" s="8" t="s"/>
      <c r="D35" s="8" t="s"/>
      <c r="H35" s="6" t="str">
        <f>=IF(ISBLANK(B35),"","("&amp;""""&amp;SUBSTITUTE(B35,"
",""""&amp;","&amp;"""")&amp;""""&amp;")")</f>
        <v/>
      </c>
      <c r="I35" s="6" t="str">
        <f>=IF(ISBLANK(C35),"","("&amp;""""&amp;SUBSTITUTE(C35,"
",""""&amp;","&amp;"""")&amp;""""&amp;")")</f>
        <v/>
      </c>
      <c r="J35" s="6" t="str">
        <f>=IF(ISBLANK(D35),"","("&amp;""""&amp;SUBSTITUTE(D35,"
",""""&amp;","&amp;"""")&amp;""""&amp;")")</f>
        <v/>
      </c>
      <c r="K35" s="6">
        <f>=A35</f>
        <v>0</v>
      </c>
    </row>
    <row r="36" spans="2:11">
      <c r="B36" s="8" t="s"/>
      <c r="C36" s="8" t="s"/>
      <c r="D36" s="8" t="s"/>
      <c r="H36" s="6" t="str">
        <f>=IF(ISBLANK(B36),"","("&amp;""""&amp;SUBSTITUTE(B36,"
",""""&amp;","&amp;"""")&amp;""""&amp;")")</f>
        <v/>
      </c>
      <c r="I36" s="6" t="str">
        <f>=IF(ISBLANK(C36),"","("&amp;""""&amp;SUBSTITUTE(C36,"
",""""&amp;","&amp;"""")&amp;""""&amp;")")</f>
        <v/>
      </c>
      <c r="J36" s="6" t="str">
        <f>=IF(ISBLANK(D36),"","("&amp;""""&amp;SUBSTITUTE(D36,"
",""""&amp;","&amp;"""")&amp;""""&amp;")")</f>
        <v/>
      </c>
      <c r="K36" s="6">
        <f>=A36</f>
        <v>0</v>
      </c>
    </row>
    <row r="37" spans="2:11">
      <c r="B37" s="8" t="s"/>
      <c r="C37" s="8" t="s"/>
      <c r="D37" s="8" t="s"/>
      <c r="H37" s="6" t="str">
        <f>=IF(ISBLANK(B37),"","("&amp;""""&amp;SUBSTITUTE(B37,"
",""""&amp;","&amp;"""")&amp;""""&amp;")")</f>
        <v/>
      </c>
      <c r="I37" s="6" t="str">
        <f>=IF(ISBLANK(C37),"","("&amp;""""&amp;SUBSTITUTE(C37,"
",""""&amp;","&amp;"""")&amp;""""&amp;")")</f>
        <v/>
      </c>
      <c r="J37" s="6" t="str">
        <f>=IF(ISBLANK(D37),"","("&amp;""""&amp;SUBSTITUTE(D37,"
",""""&amp;","&amp;"""")&amp;""""&amp;")")</f>
        <v/>
      </c>
      <c r="K37" s="6">
        <f>=A37</f>
        <v>0</v>
      </c>
    </row>
    <row r="38" spans="2:11">
      <c r="B38" s="8" t="s"/>
      <c r="C38" s="8" t="s"/>
      <c r="D38" s="8" t="s"/>
      <c r="H38" s="6" t="str">
        <f>=IF(ISBLANK(B38),"","("&amp;""""&amp;SUBSTITUTE(B38,"
",""""&amp;","&amp;"""")&amp;""""&amp;")")</f>
        <v/>
      </c>
      <c r="I38" s="6" t="str">
        <f>=IF(ISBLANK(C38),"","("&amp;""""&amp;SUBSTITUTE(C38,"
",""""&amp;","&amp;"""")&amp;""""&amp;")")</f>
        <v/>
      </c>
      <c r="J38" s="6" t="str">
        <f>=IF(ISBLANK(D38),"","("&amp;""""&amp;SUBSTITUTE(D38,"
",""""&amp;","&amp;"""")&amp;""""&amp;")")</f>
        <v/>
      </c>
      <c r="K38" s="6">
        <f>=A38</f>
        <v>0</v>
      </c>
    </row>
    <row r="39" spans="2:11">
      <c r="B39" s="8" t="s"/>
      <c r="C39" s="8" t="s"/>
      <c r="D39" s="8" t="s"/>
      <c r="H39" s="6" t="str">
        <f>=IF(ISBLANK(B39),"","("&amp;""""&amp;SUBSTITUTE(B39,"
",""""&amp;","&amp;"""")&amp;""""&amp;")")</f>
        <v/>
      </c>
      <c r="I39" s="6" t="str">
        <f>=IF(ISBLANK(C39),"","("&amp;""""&amp;SUBSTITUTE(C39,"
",""""&amp;","&amp;"""")&amp;""""&amp;")")</f>
        <v/>
      </c>
      <c r="J39" s="6" t="str">
        <f>=IF(ISBLANK(D39),"","("&amp;""""&amp;SUBSTITUTE(D39,"
",""""&amp;","&amp;"""")&amp;""""&amp;")")</f>
        <v/>
      </c>
      <c r="K39" s="6">
        <f>=A39</f>
        <v>0</v>
      </c>
    </row>
    <row r="40" spans="2:11">
      <c r="B40" s="8" t="s"/>
      <c r="C40" s="8" t="s"/>
      <c r="D40" s="8" t="s"/>
      <c r="H40" s="6" t="str">
        <f>=IF(ISBLANK(B40),"","("&amp;""""&amp;SUBSTITUTE(B40,"
",""""&amp;","&amp;"""")&amp;""""&amp;")")</f>
        <v/>
      </c>
      <c r="I40" s="6" t="str">
        <f>=IF(ISBLANK(C40),"","("&amp;""""&amp;SUBSTITUTE(C40,"
",""""&amp;","&amp;"""")&amp;""""&amp;")")</f>
        <v/>
      </c>
      <c r="J40" s="6" t="str">
        <f>=IF(ISBLANK(D40),"","("&amp;""""&amp;SUBSTITUTE(D40,"
",""""&amp;","&amp;"""")&amp;""""&amp;")")</f>
        <v/>
      </c>
      <c r="K40" s="6">
        <f>=A40</f>
        <v>0</v>
      </c>
    </row>
    <row r="41" spans="2:11">
      <c r="B41" s="8" t="s"/>
      <c r="C41" s="8" t="s"/>
      <c r="D41" s="8" t="s"/>
      <c r="H41" s="6" t="str">
        <f>=IF(ISBLANK(B41),"","("&amp;""""&amp;SUBSTITUTE(B41,"
",""""&amp;","&amp;"""")&amp;""""&amp;")")</f>
        <v/>
      </c>
      <c r="I41" s="6" t="str">
        <f>=IF(ISBLANK(C41),"","("&amp;""""&amp;SUBSTITUTE(C41,"
",""""&amp;","&amp;"""")&amp;""""&amp;")")</f>
        <v/>
      </c>
      <c r="J41" s="6" t="str">
        <f>=IF(ISBLANK(D41),"","("&amp;""""&amp;SUBSTITUTE(D41,"
",""""&amp;","&amp;"""")&amp;""""&amp;")")</f>
        <v/>
      </c>
      <c r="K41" s="6">
        <f>=A41</f>
        <v>0</v>
      </c>
    </row>
    <row r="42" spans="2:11">
      <c r="B42" s="8" t="s"/>
      <c r="C42" s="8" t="s"/>
      <c r="D42" s="8" t="s"/>
      <c r="H42" s="6" t="str">
        <f>=IF(ISBLANK(B42),"","("&amp;""""&amp;SUBSTITUTE(B42,"
",""""&amp;","&amp;"""")&amp;""""&amp;")")</f>
        <v/>
      </c>
      <c r="I42" s="6" t="str">
        <f>=IF(ISBLANK(C42),"","("&amp;""""&amp;SUBSTITUTE(C42,"
",""""&amp;","&amp;"""")&amp;""""&amp;")")</f>
        <v/>
      </c>
      <c r="J42" s="6" t="str">
        <f>=IF(ISBLANK(D42),"","("&amp;""""&amp;SUBSTITUTE(D42,"
",""""&amp;","&amp;"""")&amp;""""&amp;")")</f>
        <v/>
      </c>
      <c r="K42" s="6">
        <f>=A42</f>
        <v>0</v>
      </c>
    </row>
    <row r="43" spans="2:11">
      <c r="B43" s="8" t="s"/>
      <c r="C43" s="8" t="s"/>
      <c r="D43" s="8" t="s"/>
      <c r="H43" s="6" t="str">
        <f>=IF(ISBLANK(B43),"","("&amp;""""&amp;SUBSTITUTE(B43,"
",""""&amp;","&amp;"""")&amp;""""&amp;")")</f>
        <v/>
      </c>
      <c r="I43" s="6" t="str">
        <f>=IF(ISBLANK(C43),"","("&amp;""""&amp;SUBSTITUTE(C43,"
",""""&amp;","&amp;"""")&amp;""""&amp;")")</f>
        <v/>
      </c>
      <c r="J43" s="6" t="str">
        <f>=IF(ISBLANK(D43),"","("&amp;""""&amp;SUBSTITUTE(D43,"
",""""&amp;","&amp;"""")&amp;""""&amp;")")</f>
        <v/>
      </c>
      <c r="K43" s="6">
        <f>=A43</f>
        <v>0</v>
      </c>
    </row>
    <row r="44" spans="2:11">
      <c r="B44" s="8" t="s"/>
      <c r="C44" s="8" t="s"/>
      <c r="D44" s="8" t="s"/>
      <c r="H44" s="6" t="str">
        <f>=IF(ISBLANK(B44),"","("&amp;""""&amp;SUBSTITUTE(B44,"
",""""&amp;","&amp;"""")&amp;""""&amp;")")</f>
        <v/>
      </c>
      <c r="I44" s="6" t="str">
        <f>=IF(ISBLANK(C44),"","("&amp;""""&amp;SUBSTITUTE(C44,"
",""""&amp;","&amp;"""")&amp;""""&amp;")")</f>
        <v/>
      </c>
      <c r="J44" s="6" t="str">
        <f>=IF(ISBLANK(D44),"","("&amp;""""&amp;SUBSTITUTE(D44,"
",""""&amp;","&amp;"""")&amp;""""&amp;")")</f>
        <v/>
      </c>
      <c r="K44" s="6">
        <f>=A44</f>
        <v>0</v>
      </c>
    </row>
    <row r="45" spans="2:11">
      <c r="B45" s="8" t="s"/>
      <c r="C45" s="8" t="s"/>
      <c r="D45" s="8" t="s"/>
      <c r="H45" s="6" t="str">
        <f>=IF(ISBLANK(B45),"","("&amp;""""&amp;SUBSTITUTE(B45,"
",""""&amp;","&amp;"""")&amp;""""&amp;")")</f>
        <v/>
      </c>
      <c r="I45" s="6" t="str">
        <f>=IF(ISBLANK(C45),"","("&amp;""""&amp;SUBSTITUTE(C45,"
",""""&amp;","&amp;"""")&amp;""""&amp;")")</f>
        <v/>
      </c>
      <c r="J45" s="6" t="str">
        <f>=IF(ISBLANK(D45),"","("&amp;""""&amp;SUBSTITUTE(D45,"
",""""&amp;","&amp;"""")&amp;""""&amp;")")</f>
        <v/>
      </c>
      <c r="K45" s="6">
        <f>=A45</f>
        <v>0</v>
      </c>
    </row>
    <row r="46" spans="2:11">
      <c r="B46" s="8" t="s"/>
      <c r="C46" s="8" t="s"/>
      <c r="D46" s="8" t="s"/>
      <c r="H46" s="6" t="str">
        <f>=IF(ISBLANK(B46),"","("&amp;""""&amp;SUBSTITUTE(B46,"
",""""&amp;","&amp;"""")&amp;""""&amp;")")</f>
        <v/>
      </c>
      <c r="I46" s="6" t="str">
        <f>=IF(ISBLANK(C46),"","("&amp;""""&amp;SUBSTITUTE(C46,"
",""""&amp;","&amp;"""")&amp;""""&amp;")")</f>
        <v/>
      </c>
      <c r="J46" s="6" t="str">
        <f>=IF(ISBLANK(D46),"","("&amp;""""&amp;SUBSTITUTE(D46,"
",""""&amp;","&amp;"""")&amp;""""&amp;")")</f>
        <v/>
      </c>
      <c r="K46" s="6">
        <f>=A46</f>
        <v>0</v>
      </c>
    </row>
    <row r="47" spans="2:11">
      <c r="B47" s="8" t="s"/>
      <c r="C47" s="8" t="s"/>
      <c r="D47" s="8" t="s"/>
      <c r="H47" s="6" t="str">
        <f>=IF(ISBLANK(B47),"","("&amp;""""&amp;SUBSTITUTE(B47,"
",""""&amp;","&amp;"""")&amp;""""&amp;")")</f>
        <v/>
      </c>
      <c r="I47" s="6" t="str">
        <f>=IF(ISBLANK(C47),"","("&amp;""""&amp;SUBSTITUTE(C47,"
",""""&amp;","&amp;"""")&amp;""""&amp;")")</f>
        <v/>
      </c>
      <c r="J47" s="6" t="str">
        <f>=IF(ISBLANK(D47),"","("&amp;""""&amp;SUBSTITUTE(D47,"
",""""&amp;","&amp;"""")&amp;""""&amp;")")</f>
        <v/>
      </c>
      <c r="K47" s="6">
        <f>=A47</f>
        <v>0</v>
      </c>
    </row>
    <row r="48" spans="2:11">
      <c r="B48" s="8" t="s"/>
      <c r="C48" s="8" t="s"/>
      <c r="D48" s="8" t="s"/>
      <c r="H48" s="6" t="str">
        <f>=IF(ISBLANK(B48),"","("&amp;""""&amp;SUBSTITUTE(B48,"
",""""&amp;","&amp;"""")&amp;""""&amp;")")</f>
        <v/>
      </c>
      <c r="I48" s="6" t="str">
        <f>=IF(ISBLANK(C48),"","("&amp;""""&amp;SUBSTITUTE(C48,"
",""""&amp;","&amp;"""")&amp;""""&amp;")")</f>
        <v/>
      </c>
      <c r="J48" s="6" t="str">
        <f>=IF(ISBLANK(D48),"","("&amp;""""&amp;SUBSTITUTE(D48,"
",""""&amp;","&amp;"""")&amp;""""&amp;")")</f>
        <v/>
      </c>
      <c r="K48" s="6">
        <f>=A48</f>
        <v>0</v>
      </c>
    </row>
    <row r="49" spans="2:11">
      <c r="B49" s="8" t="s"/>
      <c r="C49" s="8" t="s"/>
      <c r="D49" s="8" t="s"/>
      <c r="H49" s="6" t="str">
        <f>=IF(ISBLANK(B49),"","("&amp;""""&amp;SUBSTITUTE(B49,"
",""""&amp;","&amp;"""")&amp;""""&amp;")")</f>
        <v/>
      </c>
      <c r="I49" s="6" t="str">
        <f>=IF(ISBLANK(C49),"","("&amp;""""&amp;SUBSTITUTE(C49,"
",""""&amp;","&amp;"""")&amp;""""&amp;")")</f>
        <v/>
      </c>
      <c r="J49" s="6" t="str">
        <f>=IF(ISBLANK(D49),"","("&amp;""""&amp;SUBSTITUTE(D49,"
",""""&amp;","&amp;"""")&amp;""""&amp;")")</f>
        <v/>
      </c>
      <c r="K49" s="6">
        <f>=A49</f>
        <v>0</v>
      </c>
    </row>
    <row r="50" spans="2:11">
      <c r="B50" s="8" t="s"/>
      <c r="C50" s="8" t="s"/>
      <c r="D50" s="8" t="s"/>
      <c r="H50" s="6" t="str">
        <f>=IF(ISBLANK(B50),"","("&amp;""""&amp;SUBSTITUTE(B50,"
",""""&amp;","&amp;"""")&amp;""""&amp;")")</f>
        <v/>
      </c>
      <c r="I50" s="6" t="str">
        <f>=IF(ISBLANK(C50),"","("&amp;""""&amp;SUBSTITUTE(C50,"
",""""&amp;","&amp;"""")&amp;""""&amp;")")</f>
        <v/>
      </c>
      <c r="J50" s="6" t="str">
        <f>=IF(ISBLANK(D50),"","("&amp;""""&amp;SUBSTITUTE(D50,"
",""""&amp;","&amp;"""")&amp;""""&amp;")")</f>
        <v/>
      </c>
      <c r="K50" s="6">
        <f>=A50</f>
        <v>0</v>
      </c>
    </row>
    <row r="51" spans="2:11">
      <c r="B51" s="8" t="s"/>
      <c r="C51" s="8" t="s"/>
      <c r="D51" s="8" t="s"/>
      <c r="H51" s="6" t="str">
        <f>=IF(ISBLANK(B51),"","("&amp;""""&amp;SUBSTITUTE(B51,"
",""""&amp;","&amp;"""")&amp;""""&amp;")")</f>
        <v/>
      </c>
      <c r="I51" s="6" t="str">
        <f>=IF(ISBLANK(C51),"","("&amp;""""&amp;SUBSTITUTE(C51,"
",""""&amp;","&amp;"""")&amp;""""&amp;")")</f>
        <v/>
      </c>
      <c r="J51" s="6" t="str">
        <f>=IF(ISBLANK(D51),"","("&amp;""""&amp;SUBSTITUTE(D51,"
",""""&amp;","&amp;"""")&amp;""""&amp;")")</f>
        <v/>
      </c>
      <c r="K51" s="6">
        <f>=A51</f>
        <v>0</v>
      </c>
    </row>
    <row r="52" spans="2:11">
      <c r="B52" s="8" t="s"/>
      <c r="C52" s="8" t="s"/>
      <c r="D52" s="8" t="s"/>
      <c r="H52" s="6" t="str">
        <f>=IF(ISBLANK(B52),"","("&amp;""""&amp;SUBSTITUTE(B52,"
",""""&amp;","&amp;"""")&amp;""""&amp;")")</f>
        <v/>
      </c>
      <c r="I52" s="6" t="str">
        <f>=IF(ISBLANK(C52),"","("&amp;""""&amp;SUBSTITUTE(C52,"
",""""&amp;","&amp;"""")&amp;""""&amp;")")</f>
        <v/>
      </c>
      <c r="J52" s="6" t="str">
        <f>=IF(ISBLANK(D52),"","("&amp;""""&amp;SUBSTITUTE(D52,"
",""""&amp;","&amp;"""")&amp;""""&amp;")")</f>
        <v/>
      </c>
      <c r="K52" s="6">
        <f>=A52</f>
        <v>0</v>
      </c>
    </row>
    <row r="53" spans="2:11">
      <c r="B53" s="8" t="s"/>
      <c r="C53" s="8" t="s"/>
      <c r="D53" s="8" t="s"/>
      <c r="H53" s="6" t="str">
        <f>=IF(ISBLANK(B53),"","("&amp;""""&amp;SUBSTITUTE(B53,"
",""""&amp;","&amp;"""")&amp;""""&amp;")")</f>
        <v/>
      </c>
      <c r="I53" s="6" t="str">
        <f>=IF(ISBLANK(C53),"","("&amp;""""&amp;SUBSTITUTE(C53,"
",""""&amp;","&amp;"""")&amp;""""&amp;")")</f>
        <v/>
      </c>
      <c r="J53" s="6" t="str">
        <f>=IF(ISBLANK(D53),"","("&amp;""""&amp;SUBSTITUTE(D53,"
",""""&amp;","&amp;"""")&amp;""""&amp;")")</f>
        <v/>
      </c>
      <c r="K53" s="6">
        <f>=A53</f>
        <v>0</v>
      </c>
    </row>
    <row r="54" spans="2:11">
      <c r="B54" s="8" t="s"/>
      <c r="C54" s="8" t="s"/>
      <c r="D54" s="8" t="s"/>
      <c r="H54" s="6" t="str">
        <f>=IF(ISBLANK(B54),"","("&amp;""""&amp;SUBSTITUTE(B54,"
",""""&amp;","&amp;"""")&amp;""""&amp;")")</f>
        <v/>
      </c>
      <c r="I54" s="6" t="str">
        <f>=IF(ISBLANK(C54),"","("&amp;""""&amp;SUBSTITUTE(C54,"
",""""&amp;","&amp;"""")&amp;""""&amp;")")</f>
        <v/>
      </c>
      <c r="J54" s="6" t="str">
        <f>=IF(ISBLANK(D54),"","("&amp;""""&amp;SUBSTITUTE(D54,"
",""""&amp;","&amp;"""")&amp;""""&amp;")")</f>
        <v/>
      </c>
      <c r="K54" s="6">
        <f>=A54</f>
        <v>0</v>
      </c>
    </row>
    <row r="55" spans="2:11">
      <c r="B55" s="8" t="s"/>
      <c r="C55" s="8" t="s"/>
      <c r="D55" s="8" t="s"/>
      <c r="H55" s="6" t="str">
        <f>=IF(ISBLANK(B55),"","("&amp;""""&amp;SUBSTITUTE(B55,"
",""""&amp;","&amp;"""")&amp;""""&amp;")")</f>
        <v/>
      </c>
      <c r="I55" s="6" t="str">
        <f>=IF(ISBLANK(C55),"","("&amp;""""&amp;SUBSTITUTE(C55,"
",""""&amp;","&amp;"""")&amp;""""&amp;")")</f>
        <v/>
      </c>
      <c r="J55" s="6" t="str">
        <f>=IF(ISBLANK(D55),"","("&amp;""""&amp;SUBSTITUTE(D55,"
",""""&amp;","&amp;"""")&amp;""""&amp;")")</f>
        <v/>
      </c>
      <c r="K55" s="6">
        <f>=A55</f>
        <v>0</v>
      </c>
    </row>
    <row r="56" spans="2:11">
      <c r="B56" s="8" t="s"/>
      <c r="C56" s="8" t="s"/>
      <c r="D56" s="8" t="s"/>
      <c r="H56" s="6" t="str">
        <f>=IF(ISBLANK(B56),"","("&amp;""""&amp;SUBSTITUTE(B56,"
",""""&amp;","&amp;"""")&amp;""""&amp;")")</f>
        <v/>
      </c>
      <c r="I56" s="6" t="str">
        <f>=IF(ISBLANK(C56),"","("&amp;""""&amp;SUBSTITUTE(C56,"
",""""&amp;","&amp;"""")&amp;""""&amp;")")</f>
        <v/>
      </c>
      <c r="J56" s="6" t="str">
        <f>=IF(ISBLANK(D56),"","("&amp;""""&amp;SUBSTITUTE(D56,"
",""""&amp;","&amp;"""")&amp;""""&amp;")")</f>
        <v/>
      </c>
      <c r="K56" s="6">
        <f>=A56</f>
        <v>0</v>
      </c>
    </row>
    <row r="57" spans="2:11">
      <c r="B57" s="8" t="s"/>
      <c r="C57" s="8" t="s"/>
      <c r="D57" s="8" t="s"/>
      <c r="H57" s="6" t="str">
        <f>=IF(ISBLANK(B57),"","("&amp;""""&amp;SUBSTITUTE(B57,"
",""""&amp;","&amp;"""")&amp;""""&amp;")")</f>
        <v/>
      </c>
      <c r="I57" s="6" t="str">
        <f>=IF(ISBLANK(C57),"","("&amp;""""&amp;SUBSTITUTE(C57,"
",""""&amp;","&amp;"""")&amp;""""&amp;")")</f>
        <v/>
      </c>
      <c r="J57" s="6" t="str">
        <f>=IF(ISBLANK(D57),"","("&amp;""""&amp;SUBSTITUTE(D57,"
",""""&amp;","&amp;"""")&amp;""""&amp;")")</f>
        <v/>
      </c>
      <c r="K57" s="6">
        <f>=A57</f>
        <v>0</v>
      </c>
    </row>
    <row r="58" spans="2:11">
      <c r="B58" s="8" t="s"/>
      <c r="C58" s="8" t="s"/>
      <c r="D58" s="8" t="s"/>
      <c r="H58" s="6" t="str">
        <f>=IF(ISBLANK(B58),"","("&amp;""""&amp;SUBSTITUTE(B58,"
",""""&amp;","&amp;"""")&amp;""""&amp;")")</f>
        <v/>
      </c>
      <c r="I58" s="6" t="str">
        <f>=IF(ISBLANK(C58),"","("&amp;""""&amp;SUBSTITUTE(C58,"
",""""&amp;","&amp;"""")&amp;""""&amp;")")</f>
        <v/>
      </c>
      <c r="J58" s="6" t="str">
        <f>=IF(ISBLANK(D58),"","("&amp;""""&amp;SUBSTITUTE(D58,"
",""""&amp;","&amp;"""")&amp;""""&amp;")")</f>
        <v/>
      </c>
      <c r="K58" s="6">
        <f>=A58</f>
        <v>0</v>
      </c>
    </row>
    <row r="59" spans="2:11">
      <c r="B59" s="8" t="s"/>
      <c r="C59" s="8" t="s"/>
      <c r="D59" s="8" t="s"/>
      <c r="H59" s="6" t="str">
        <f>=IF(ISBLANK(B59),"","("&amp;""""&amp;SUBSTITUTE(B59,"
",""""&amp;","&amp;"""")&amp;""""&amp;")")</f>
        <v/>
      </c>
      <c r="I59" s="6" t="str">
        <f>=IF(ISBLANK(C59),"","("&amp;""""&amp;SUBSTITUTE(C59,"
",""""&amp;","&amp;"""")&amp;""""&amp;")")</f>
        <v/>
      </c>
      <c r="J59" s="6" t="str">
        <f>=IF(ISBLANK(D59),"","("&amp;""""&amp;SUBSTITUTE(D59,"
",""""&amp;","&amp;"""")&amp;""""&amp;")")</f>
        <v/>
      </c>
      <c r="K59" s="6">
        <f>=A59</f>
        <v>0</v>
      </c>
    </row>
    <row r="60" spans="2:11">
      <c r="B60" s="8" t="s"/>
      <c r="C60" s="8" t="s"/>
      <c r="D60" s="8" t="s"/>
      <c r="H60" s="6" t="str">
        <f>=IF(ISBLANK(B60),"","("&amp;""""&amp;SUBSTITUTE(B60,"
",""""&amp;","&amp;"""")&amp;""""&amp;")")</f>
        <v/>
      </c>
      <c r="I60" s="6" t="str">
        <f>=IF(ISBLANK(C60),"","("&amp;""""&amp;SUBSTITUTE(C60,"
",""""&amp;","&amp;"""")&amp;""""&amp;")")</f>
        <v/>
      </c>
      <c r="J60" s="6" t="str">
        <f>=IF(ISBLANK(D60),"","("&amp;""""&amp;SUBSTITUTE(D60,"
",""""&amp;","&amp;"""")&amp;""""&amp;")")</f>
        <v/>
      </c>
      <c r="K60" s="6">
        <f>=A60</f>
        <v>0</v>
      </c>
    </row>
    <row r="61" spans="2:11">
      <c r="B61" s="8" t="s"/>
      <c r="C61" s="8" t="s"/>
      <c r="D61" s="8" t="s"/>
      <c r="H61" s="6" t="str">
        <f>=IF(ISBLANK(B61),"","("&amp;""""&amp;SUBSTITUTE(B61,"
",""""&amp;","&amp;"""")&amp;""""&amp;")")</f>
        <v/>
      </c>
      <c r="I61" s="6" t="str">
        <f>=IF(ISBLANK(C61),"","("&amp;""""&amp;SUBSTITUTE(C61,"
",""""&amp;","&amp;"""")&amp;""""&amp;")")</f>
        <v/>
      </c>
      <c r="J61" s="6" t="str">
        <f>=IF(ISBLANK(D61),"","("&amp;""""&amp;SUBSTITUTE(D61,"
",""""&amp;","&amp;"""")&amp;""""&amp;")")</f>
        <v/>
      </c>
      <c r="K61" s="6">
        <f>=A61</f>
        <v>0</v>
      </c>
    </row>
    <row r="62" spans="2:11">
      <c r="B62" s="8" t="s"/>
      <c r="C62" s="8" t="s"/>
      <c r="D62" s="8" t="s"/>
      <c r="H62" s="6" t="str">
        <f>=IF(ISBLANK(B62),"","("&amp;""""&amp;SUBSTITUTE(B62,"
",""""&amp;","&amp;"""")&amp;""""&amp;")")</f>
        <v/>
      </c>
      <c r="I62" s="6" t="str">
        <f>=IF(ISBLANK(C62),"","("&amp;""""&amp;SUBSTITUTE(C62,"
",""""&amp;","&amp;"""")&amp;""""&amp;")")</f>
        <v/>
      </c>
      <c r="J62" s="6" t="str">
        <f>=IF(ISBLANK(D62),"","("&amp;""""&amp;SUBSTITUTE(D62,"
",""""&amp;","&amp;"""")&amp;""""&amp;")")</f>
        <v/>
      </c>
      <c r="K62" s="6">
        <f>=A62</f>
        <v>0</v>
      </c>
    </row>
    <row r="63" spans="2:11">
      <c r="B63" s="8" t="s"/>
      <c r="C63" s="8" t="s"/>
      <c r="D63" s="8" t="s"/>
      <c r="H63" s="6" t="str">
        <f>=IF(ISBLANK(B63),"","("&amp;""""&amp;SUBSTITUTE(B63,"
",""""&amp;","&amp;"""")&amp;""""&amp;")")</f>
        <v/>
      </c>
      <c r="I63" s="6" t="str">
        <f>=IF(ISBLANK(C63),"","("&amp;""""&amp;SUBSTITUTE(C63,"
",""""&amp;","&amp;"""")&amp;""""&amp;")")</f>
        <v/>
      </c>
      <c r="J63" s="6" t="str">
        <f>=IF(ISBLANK(D63),"","("&amp;""""&amp;SUBSTITUTE(D63,"
",""""&amp;","&amp;"""")&amp;""""&amp;")")</f>
        <v/>
      </c>
      <c r="K63" s="6">
        <f>=A63</f>
        <v>0</v>
      </c>
    </row>
    <row r="64" spans="2:11">
      <c r="B64" s="8" t="s"/>
      <c r="C64" s="8" t="s"/>
      <c r="D64" s="8" t="s"/>
      <c r="H64" s="6" t="str">
        <f>=IF(ISBLANK(B64),"","("&amp;""""&amp;SUBSTITUTE(B64,"
",""""&amp;","&amp;"""")&amp;""""&amp;")")</f>
        <v/>
      </c>
      <c r="I64" s="6" t="str">
        <f>=IF(ISBLANK(C64),"","("&amp;""""&amp;SUBSTITUTE(C64,"
",""""&amp;","&amp;"""")&amp;""""&amp;")")</f>
        <v/>
      </c>
      <c r="J64" s="6" t="str">
        <f>=IF(ISBLANK(D64),"","("&amp;""""&amp;SUBSTITUTE(D64,"
",""""&amp;","&amp;"""")&amp;""""&amp;")")</f>
        <v/>
      </c>
      <c r="K64" s="6">
        <f>=A64</f>
        <v>0</v>
      </c>
    </row>
    <row r="65" spans="2:11">
      <c r="B65" s="8" t="s"/>
      <c r="C65" s="8" t="s"/>
      <c r="D65" s="8" t="s"/>
      <c r="H65" s="6" t="str">
        <f>=IF(ISBLANK(B65),"","("&amp;""""&amp;SUBSTITUTE(B65,"
",""""&amp;","&amp;"""")&amp;""""&amp;")")</f>
        <v/>
      </c>
      <c r="I65" s="6" t="str">
        <f>=IF(ISBLANK(C65),"","("&amp;""""&amp;SUBSTITUTE(C65,"
",""""&amp;","&amp;"""")&amp;""""&amp;")")</f>
        <v/>
      </c>
      <c r="J65" s="6" t="str">
        <f>=IF(ISBLANK(D65),"","("&amp;""""&amp;SUBSTITUTE(D65,"
",""""&amp;","&amp;"""")&amp;""""&amp;")")</f>
        <v/>
      </c>
      <c r="K65" s="6">
        <f>=A65</f>
        <v>0</v>
      </c>
    </row>
    <row r="66" spans="2:11">
      <c r="B66" s="8" t="s"/>
      <c r="C66" s="8" t="s"/>
      <c r="D66" s="8" t="s"/>
      <c r="H66" s="6" t="str">
        <f>=IF(ISBLANK(B66),"","("&amp;""""&amp;SUBSTITUTE(B66,"
",""""&amp;","&amp;"""")&amp;""""&amp;")")</f>
        <v/>
      </c>
      <c r="I66" s="6" t="str">
        <f>=IF(ISBLANK(C66),"","("&amp;""""&amp;SUBSTITUTE(C66,"
",""""&amp;","&amp;"""")&amp;""""&amp;")")</f>
        <v/>
      </c>
      <c r="J66" s="6" t="str">
        <f>=IF(ISBLANK(D66),"","("&amp;""""&amp;SUBSTITUTE(D66,"
",""""&amp;","&amp;"""")&amp;""""&amp;")")</f>
        <v/>
      </c>
      <c r="K66" s="6">
        <f>=A66</f>
        <v>0</v>
      </c>
    </row>
    <row r="67" spans="2:11">
      <c r="B67" s="8" t="s"/>
      <c r="C67" s="8" t="s"/>
      <c r="D67" s="8" t="s"/>
      <c r="H67" s="6" t="str">
        <f>=IF(ISBLANK(B67),"","("&amp;""""&amp;SUBSTITUTE(B67,"
",""""&amp;","&amp;"""")&amp;""""&amp;")")</f>
        <v/>
      </c>
      <c r="I67" s="6" t="str">
        <f>=IF(ISBLANK(C67),"","("&amp;""""&amp;SUBSTITUTE(C67,"
",""""&amp;","&amp;"""")&amp;""""&amp;")")</f>
        <v/>
      </c>
      <c r="J67" s="6" t="str">
        <f>=IF(ISBLANK(D67),"","("&amp;""""&amp;SUBSTITUTE(D67,"
",""""&amp;","&amp;"""")&amp;""""&amp;")")</f>
        <v/>
      </c>
      <c r="K67" s="6">
        <f>=A67</f>
        <v>0</v>
      </c>
    </row>
    <row r="68" spans="2:11">
      <c r="B68" s="8" t="s"/>
      <c r="C68" s="8" t="s"/>
      <c r="D68" s="8" t="s"/>
      <c r="H68" s="6" t="str">
        <f>=IF(ISBLANK(B68),"","("&amp;""""&amp;SUBSTITUTE(B68,"
",""""&amp;","&amp;"""")&amp;""""&amp;")")</f>
        <v/>
      </c>
      <c r="I68" s="6" t="str">
        <f>=IF(ISBLANK(C68),"","("&amp;""""&amp;SUBSTITUTE(C68,"
",""""&amp;","&amp;"""")&amp;""""&amp;")")</f>
        <v/>
      </c>
      <c r="J68" s="6" t="str">
        <f>=IF(ISBLANK(D68),"","("&amp;""""&amp;SUBSTITUTE(D68,"
",""""&amp;","&amp;"""")&amp;""""&amp;")")</f>
        <v/>
      </c>
      <c r="K68" s="6">
        <f>=A68</f>
        <v>0</v>
      </c>
    </row>
    <row r="69" spans="2:11">
      <c r="B69" s="8" t="s"/>
      <c r="C69" s="8" t="s"/>
      <c r="D69" s="8" t="s"/>
      <c r="H69" s="6" t="str">
        <f>=IF(ISBLANK(B69),"","("&amp;""""&amp;SUBSTITUTE(B69,"
",""""&amp;","&amp;"""")&amp;""""&amp;")")</f>
        <v/>
      </c>
      <c r="I69" s="6" t="str">
        <f>=IF(ISBLANK(C69),"","("&amp;""""&amp;SUBSTITUTE(C69,"
",""""&amp;","&amp;"""")&amp;""""&amp;")")</f>
        <v/>
      </c>
      <c r="J69" s="6" t="str">
        <f>=IF(ISBLANK(D69),"","("&amp;""""&amp;SUBSTITUTE(D69,"
",""""&amp;","&amp;"""")&amp;""""&amp;")")</f>
        <v/>
      </c>
      <c r="K69" s="6">
        <f>=A69</f>
        <v>0</v>
      </c>
    </row>
    <row r="70" spans="2:11">
      <c r="B70" s="8" t="s"/>
      <c r="C70" s="8" t="s"/>
      <c r="D70" s="8" t="s"/>
      <c r="H70" s="6" t="str">
        <f>=IF(ISBLANK(B70),"","("&amp;""""&amp;SUBSTITUTE(B70,"
",""""&amp;","&amp;"""")&amp;""""&amp;")")</f>
        <v/>
      </c>
      <c r="I70" s="6" t="str">
        <f>=IF(ISBLANK(C70),"","("&amp;""""&amp;SUBSTITUTE(C70,"
",""""&amp;","&amp;"""")&amp;""""&amp;")")</f>
        <v/>
      </c>
      <c r="J70" s="6" t="str">
        <f>=IF(ISBLANK(D70),"","("&amp;""""&amp;SUBSTITUTE(D70,"
",""""&amp;","&amp;"""")&amp;""""&amp;")")</f>
        <v/>
      </c>
      <c r="K70" s="6">
        <f>=A70</f>
        <v>0</v>
      </c>
    </row>
    <row r="71" spans="2:11">
      <c r="B71" s="8" t="s"/>
      <c r="C71" s="8" t="s"/>
      <c r="D71" s="8" t="s"/>
      <c r="H71" s="6" t="str">
        <f>=IF(ISBLANK(B71),"","("&amp;""""&amp;SUBSTITUTE(B71,"
",""""&amp;","&amp;"""")&amp;""""&amp;")")</f>
        <v/>
      </c>
      <c r="I71" s="6" t="str">
        <f>=IF(ISBLANK(C71),"","("&amp;""""&amp;SUBSTITUTE(C71,"
",""""&amp;","&amp;"""")&amp;""""&amp;")")</f>
        <v/>
      </c>
      <c r="J71" s="6" t="str">
        <f>=IF(ISBLANK(D71),"","("&amp;""""&amp;SUBSTITUTE(D71,"
",""""&amp;","&amp;"""")&amp;""""&amp;")")</f>
        <v/>
      </c>
      <c r="K71" s="6">
        <f>=A71</f>
        <v>0</v>
      </c>
    </row>
    <row r="72" spans="2:11">
      <c r="B72" s="8" t="s"/>
      <c r="C72" s="8" t="s"/>
      <c r="D72" s="8" t="s"/>
      <c r="H72" s="6" t="str">
        <f>=IF(ISBLANK(B72),"","("&amp;""""&amp;SUBSTITUTE(B72,"
",""""&amp;","&amp;"""")&amp;""""&amp;")")</f>
        <v/>
      </c>
      <c r="I72" s="6" t="str">
        <f>=IF(ISBLANK(C72),"","("&amp;""""&amp;SUBSTITUTE(C72,"
",""""&amp;","&amp;"""")&amp;""""&amp;")")</f>
        <v/>
      </c>
      <c r="J72" s="6" t="str">
        <f>=IF(ISBLANK(D72),"","("&amp;""""&amp;SUBSTITUTE(D72,"
",""""&amp;","&amp;"""")&amp;""""&amp;")")</f>
        <v/>
      </c>
      <c r="K72" s="6">
        <f>=A72</f>
        <v>0</v>
      </c>
    </row>
    <row r="73" spans="2:11">
      <c r="B73" s="8" t="s"/>
      <c r="C73" s="8" t="s"/>
      <c r="D73" s="8" t="s"/>
      <c r="H73" s="6" t="str">
        <f>=IF(ISBLANK(B73),"","("&amp;""""&amp;SUBSTITUTE(B73,"
",""""&amp;","&amp;"""")&amp;""""&amp;")")</f>
        <v/>
      </c>
      <c r="I73" s="6" t="str">
        <f>=IF(ISBLANK(C73),"","("&amp;""""&amp;SUBSTITUTE(C73,"
",""""&amp;","&amp;"""")&amp;""""&amp;")")</f>
        <v/>
      </c>
      <c r="J73" s="6" t="str">
        <f>=IF(ISBLANK(D73),"","("&amp;""""&amp;SUBSTITUTE(D73,"
",""""&amp;","&amp;"""")&amp;""""&amp;")")</f>
        <v/>
      </c>
      <c r="K73" s="6">
        <f>=A73</f>
        <v>0</v>
      </c>
    </row>
    <row r="74" spans="2:11">
      <c r="B74" s="8" t="s"/>
      <c r="C74" s="8" t="s"/>
      <c r="D74" s="8" t="s"/>
      <c r="H74" s="6" t="str">
        <f>=IF(ISBLANK(B74),"","("&amp;""""&amp;SUBSTITUTE(B74,"
",""""&amp;","&amp;"""")&amp;""""&amp;")")</f>
        <v/>
      </c>
      <c r="I74" s="6" t="str">
        <f>=IF(ISBLANK(C74),"","("&amp;""""&amp;SUBSTITUTE(C74,"
",""""&amp;","&amp;"""")&amp;""""&amp;")")</f>
        <v/>
      </c>
      <c r="J74" s="6" t="str">
        <f>=IF(ISBLANK(D74),"","("&amp;""""&amp;SUBSTITUTE(D74,"
",""""&amp;","&amp;"""")&amp;""""&amp;")")</f>
        <v/>
      </c>
      <c r="K74" s="6">
        <f>=A74</f>
        <v>0</v>
      </c>
    </row>
    <row r="75" spans="2:11">
      <c r="B75" s="8" t="s"/>
      <c r="C75" s="8" t="s"/>
      <c r="D75" s="8" t="s"/>
      <c r="H75" s="6" t="str">
        <f>=IF(ISBLANK(B75),"","("&amp;""""&amp;SUBSTITUTE(B75,"
",""""&amp;","&amp;"""")&amp;""""&amp;")")</f>
        <v/>
      </c>
      <c r="I75" s="6" t="str">
        <f>=IF(ISBLANK(C75),"","("&amp;""""&amp;SUBSTITUTE(C75,"
",""""&amp;","&amp;"""")&amp;""""&amp;")")</f>
        <v/>
      </c>
      <c r="J75" s="6" t="str">
        <f>=IF(ISBLANK(D75),"","("&amp;""""&amp;SUBSTITUTE(D75,"
",""""&amp;","&amp;"""")&amp;""""&amp;")")</f>
        <v/>
      </c>
      <c r="K75" s="6">
        <f>=A75</f>
        <v>0</v>
      </c>
    </row>
    <row r="76" spans="2:11">
      <c r="B76" s="8" t="s"/>
      <c r="C76" s="8" t="s"/>
      <c r="D76" s="8" t="s"/>
      <c r="H76" s="6" t="str">
        <f>=IF(ISBLANK(B76),"","("&amp;""""&amp;SUBSTITUTE(B76,"
",""""&amp;","&amp;"""")&amp;""""&amp;")")</f>
        <v/>
      </c>
      <c r="I76" s="6" t="str">
        <f>=IF(ISBLANK(C76),"","("&amp;""""&amp;SUBSTITUTE(C76,"
",""""&amp;","&amp;"""")&amp;""""&amp;")")</f>
        <v/>
      </c>
      <c r="J76" s="6" t="str">
        <f>=IF(ISBLANK(D76),"","("&amp;""""&amp;SUBSTITUTE(D76,"
",""""&amp;","&amp;"""")&amp;""""&amp;")")</f>
        <v/>
      </c>
      <c r="K76" s="6">
        <f>=A76</f>
        <v>0</v>
      </c>
    </row>
    <row r="77" spans="2:11">
      <c r="B77" s="8" t="s"/>
      <c r="C77" s="8" t="s"/>
      <c r="D77" s="8" t="s"/>
      <c r="H77" s="6" t="str">
        <f>=IF(ISBLANK(B77),"","("&amp;""""&amp;SUBSTITUTE(B77,"
",""""&amp;","&amp;"""")&amp;""""&amp;")")</f>
        <v/>
      </c>
      <c r="I77" s="6" t="str">
        <f>=IF(ISBLANK(C77),"","("&amp;""""&amp;SUBSTITUTE(C77,"
",""""&amp;","&amp;"""")&amp;""""&amp;")")</f>
        <v/>
      </c>
      <c r="J77" s="6" t="str">
        <f>=IF(ISBLANK(D77),"","("&amp;""""&amp;SUBSTITUTE(D77,"
",""""&amp;","&amp;"""")&amp;""""&amp;")")</f>
        <v/>
      </c>
      <c r="K77" s="6">
        <f>=A77</f>
        <v>0</v>
      </c>
    </row>
    <row r="78" spans="2:11">
      <c r="B78" s="8" t="s"/>
      <c r="C78" s="8" t="s"/>
      <c r="D78" s="8" t="s"/>
      <c r="H78" s="6" t="str">
        <f>=IF(ISBLANK(B78),"","("&amp;""""&amp;SUBSTITUTE(B78,"
",""""&amp;","&amp;"""")&amp;""""&amp;")")</f>
        <v/>
      </c>
      <c r="I78" s="6" t="str">
        <f>=IF(ISBLANK(C78),"","("&amp;""""&amp;SUBSTITUTE(C78,"
",""""&amp;","&amp;"""")&amp;""""&amp;")")</f>
        <v/>
      </c>
      <c r="J78" s="6" t="str">
        <f>=IF(ISBLANK(D78),"","("&amp;""""&amp;SUBSTITUTE(D78,"
",""""&amp;","&amp;"""")&amp;""""&amp;")")</f>
        <v/>
      </c>
      <c r="K78" s="6">
        <f>=A78</f>
        <v>0</v>
      </c>
    </row>
    <row r="79" spans="2:11">
      <c r="B79" s="8" t="s"/>
      <c r="C79" s="8" t="s"/>
      <c r="D79" s="8" t="s"/>
      <c r="H79" s="6" t="str">
        <f>=IF(ISBLANK(B79),"","("&amp;""""&amp;SUBSTITUTE(B79,"
",""""&amp;","&amp;"""")&amp;""""&amp;")")</f>
        <v/>
      </c>
      <c r="I79" s="6" t="str">
        <f>=IF(ISBLANK(C79),"","("&amp;""""&amp;SUBSTITUTE(C79,"
",""""&amp;","&amp;"""")&amp;""""&amp;")")</f>
        <v/>
      </c>
      <c r="J79" s="6" t="str">
        <f>=IF(ISBLANK(D79),"","("&amp;""""&amp;SUBSTITUTE(D79,"
",""""&amp;","&amp;"""")&amp;""""&amp;")")</f>
        <v/>
      </c>
      <c r="K79" s="6">
        <f>=A79</f>
        <v>0</v>
      </c>
    </row>
    <row r="80" spans="2:11">
      <c r="B80" s="8" t="s"/>
      <c r="C80" s="8" t="s"/>
      <c r="D80" s="8" t="s"/>
      <c r="H80" s="6" t="str">
        <f>=IF(ISBLANK(B80),"","("&amp;""""&amp;SUBSTITUTE(B80,"
",""""&amp;","&amp;"""")&amp;""""&amp;")")</f>
        <v/>
      </c>
      <c r="I80" s="6" t="str">
        <f>=IF(ISBLANK(C80),"","("&amp;""""&amp;SUBSTITUTE(C80,"
",""""&amp;","&amp;"""")&amp;""""&amp;")")</f>
        <v/>
      </c>
      <c r="J80" s="6" t="str">
        <f>=IF(ISBLANK(D80),"","("&amp;""""&amp;SUBSTITUTE(D80,"
",""""&amp;","&amp;"""")&amp;""""&amp;")")</f>
        <v/>
      </c>
      <c r="K80" s="6">
        <f>=A80</f>
        <v>0</v>
      </c>
    </row>
    <row r="81" spans="2:11">
      <c r="B81" s="8" t="s"/>
      <c r="C81" s="8" t="s"/>
      <c r="D81" s="8" t="s"/>
      <c r="H81" s="6" t="str">
        <f>=IF(ISBLANK(B81),"","("&amp;""""&amp;SUBSTITUTE(B81,"
",""""&amp;","&amp;"""")&amp;""""&amp;")")</f>
        <v/>
      </c>
      <c r="I81" s="6" t="str">
        <f>=IF(ISBLANK(C81),"","("&amp;""""&amp;SUBSTITUTE(C81,"
",""""&amp;","&amp;"""")&amp;""""&amp;")")</f>
        <v/>
      </c>
      <c r="J81" s="6" t="str">
        <f>=IF(ISBLANK(D81),"","("&amp;""""&amp;SUBSTITUTE(D81,"
",""""&amp;","&amp;"""")&amp;""""&amp;")")</f>
        <v/>
      </c>
      <c r="K81" s="6">
        <f>=A81</f>
        <v>0</v>
      </c>
    </row>
    <row r="82" spans="2:11">
      <c r="B82" s="8" t="s"/>
      <c r="C82" s="8" t="s"/>
      <c r="D82" s="8" t="s"/>
      <c r="H82" s="6" t="str">
        <f>=IF(ISBLANK(B82),"","("&amp;""""&amp;SUBSTITUTE(B82,"
",""""&amp;","&amp;"""")&amp;""""&amp;")")</f>
        <v/>
      </c>
      <c r="I82" s="6" t="str">
        <f>=IF(ISBLANK(C82),"","("&amp;""""&amp;SUBSTITUTE(C82,"
",""""&amp;","&amp;"""")&amp;""""&amp;")")</f>
        <v/>
      </c>
      <c r="J82" s="6" t="str">
        <f>=IF(ISBLANK(D82),"","("&amp;""""&amp;SUBSTITUTE(D82,"
",""""&amp;","&amp;"""")&amp;""""&amp;")")</f>
        <v/>
      </c>
      <c r="K82" s="6">
        <f>=A82</f>
        <v>0</v>
      </c>
    </row>
    <row r="83" spans="2:11">
      <c r="B83" s="8" t="s"/>
      <c r="C83" s="8" t="s"/>
      <c r="D83" s="8" t="s"/>
      <c r="H83" s="6" t="str">
        <f>=IF(ISBLANK(B83),"","("&amp;""""&amp;SUBSTITUTE(B83,"
",""""&amp;","&amp;"""")&amp;""""&amp;")")</f>
        <v/>
      </c>
      <c r="I83" s="6" t="str">
        <f>=IF(ISBLANK(C83),"","("&amp;""""&amp;SUBSTITUTE(C83,"
",""""&amp;","&amp;"""")&amp;""""&amp;")")</f>
        <v/>
      </c>
      <c r="J83" s="6" t="str">
        <f>=IF(ISBLANK(D83),"","("&amp;""""&amp;SUBSTITUTE(D83,"
",""""&amp;","&amp;"""")&amp;""""&amp;")")</f>
        <v/>
      </c>
      <c r="K83" s="6">
        <f>=A83</f>
        <v>0</v>
      </c>
    </row>
    <row r="84" spans="2:11">
      <c r="B84" s="8" t="s"/>
      <c r="C84" s="8" t="s"/>
      <c r="D84" s="8" t="s"/>
      <c r="H84" s="6" t="str">
        <f>=IF(ISBLANK(B84),"","("&amp;""""&amp;SUBSTITUTE(B84,"
",""""&amp;","&amp;"""")&amp;""""&amp;")")</f>
        <v/>
      </c>
      <c r="I84" s="6" t="str">
        <f>=IF(ISBLANK(C84),"","("&amp;""""&amp;SUBSTITUTE(C84,"
",""""&amp;","&amp;"""")&amp;""""&amp;")")</f>
        <v/>
      </c>
      <c r="J84" s="6" t="str">
        <f>=IF(ISBLANK(D84),"","("&amp;""""&amp;SUBSTITUTE(D84,"
",""""&amp;","&amp;"""")&amp;""""&amp;")")</f>
        <v/>
      </c>
      <c r="K84" s="6">
        <f>=A84</f>
        <v>0</v>
      </c>
    </row>
    <row r="85" spans="2:11">
      <c r="B85" s="8" t="s"/>
      <c r="C85" s="8" t="s"/>
      <c r="D85" s="8" t="s"/>
      <c r="H85" s="6" t="str">
        <f>=IF(ISBLANK(B85),"","("&amp;""""&amp;SUBSTITUTE(B85,"
",""""&amp;","&amp;"""")&amp;""""&amp;")")</f>
        <v/>
      </c>
      <c r="I85" s="6" t="str">
        <f>=IF(ISBLANK(C85),"","("&amp;""""&amp;SUBSTITUTE(C85,"
",""""&amp;","&amp;"""")&amp;""""&amp;")")</f>
        <v/>
      </c>
      <c r="J85" s="6" t="str">
        <f>=IF(ISBLANK(D85),"","("&amp;""""&amp;SUBSTITUTE(D85,"
",""""&amp;","&amp;"""")&amp;""""&amp;")")</f>
        <v/>
      </c>
      <c r="K85" s="6">
        <f>=A85</f>
        <v>0</v>
      </c>
    </row>
    <row r="86" spans="2:11">
      <c r="B86" s="8" t="s"/>
      <c r="C86" s="8" t="s"/>
      <c r="D86" s="8" t="s"/>
      <c r="H86" s="6" t="str">
        <f>=IF(ISBLANK(B86),"","("&amp;""""&amp;SUBSTITUTE(B86,"
",""""&amp;","&amp;"""")&amp;""""&amp;")")</f>
        <v/>
      </c>
      <c r="I86" s="6" t="str">
        <f>=IF(ISBLANK(C86),"","("&amp;""""&amp;SUBSTITUTE(C86,"
",""""&amp;","&amp;"""")&amp;""""&amp;")")</f>
        <v/>
      </c>
      <c r="J86" s="6" t="str">
        <f>=IF(ISBLANK(D86),"","("&amp;""""&amp;SUBSTITUTE(D86,"
",""""&amp;","&amp;"""")&amp;""""&amp;")")</f>
        <v/>
      </c>
      <c r="K86" s="6">
        <f>=A86</f>
        <v>0</v>
      </c>
    </row>
    <row r="87" spans="2:11">
      <c r="B87" s="8" t="s"/>
      <c r="C87" s="8" t="s"/>
      <c r="D87" s="8" t="s"/>
      <c r="H87" s="6" t="str">
        <f>=IF(ISBLANK(B87),"","("&amp;""""&amp;SUBSTITUTE(B87,"
",""""&amp;","&amp;"""")&amp;""""&amp;")")</f>
        <v/>
      </c>
      <c r="I87" s="6" t="str">
        <f>=IF(ISBLANK(C87),"","("&amp;""""&amp;SUBSTITUTE(C87,"
",""""&amp;","&amp;"""")&amp;""""&amp;")")</f>
        <v/>
      </c>
      <c r="J87" s="6" t="str">
        <f>=IF(ISBLANK(D87),"","("&amp;""""&amp;SUBSTITUTE(D87,"
",""""&amp;","&amp;"""")&amp;""""&amp;")")</f>
        <v/>
      </c>
      <c r="K87" s="6">
        <f>=A87</f>
        <v>0</v>
      </c>
    </row>
    <row r="88" spans="2:11">
      <c r="B88" s="8" t="s"/>
      <c r="C88" s="8" t="s"/>
      <c r="D88" s="8" t="s"/>
      <c r="H88" s="6" t="str">
        <f>=IF(ISBLANK(B88),"","("&amp;""""&amp;SUBSTITUTE(B88,"
",""""&amp;","&amp;"""")&amp;""""&amp;")")</f>
        <v/>
      </c>
      <c r="I88" s="6" t="str">
        <f>=IF(ISBLANK(C88),"","("&amp;""""&amp;SUBSTITUTE(C88,"
",""""&amp;","&amp;"""")&amp;""""&amp;")")</f>
        <v/>
      </c>
      <c r="J88" s="6" t="str">
        <f>=IF(ISBLANK(D88),"","("&amp;""""&amp;SUBSTITUTE(D88,"
",""""&amp;","&amp;"""")&amp;""""&amp;")")</f>
        <v/>
      </c>
      <c r="K88" s="6">
        <f>=A88</f>
        <v>0</v>
      </c>
    </row>
    <row r="89" spans="2:11">
      <c r="B89" s="8" t="s"/>
      <c r="C89" s="8" t="s"/>
      <c r="D89" s="8" t="s"/>
      <c r="H89" s="6" t="s"/>
      <c r="I89" s="6" t="str">
        <f>=IF(ISBLANK(C89),"","("&amp;""""&amp;SUBSTITUTE(C89,"
",""""&amp;","&amp;"""")&amp;""""&amp;")")</f>
        <v/>
      </c>
      <c r="J89" s="6" t="str">
        <f>=IF(ISBLANK(D89),"","("&amp;""""&amp;SUBSTITUTE(D89,"
",""""&amp;","&amp;"""")&amp;""""&amp;")")</f>
        <v/>
      </c>
      <c r="K89" s="6">
        <f>=A89</f>
        <v>0</v>
      </c>
    </row>
    <row r="90" spans="2:11">
      <c r="B90" s="8" t="s"/>
      <c r="C90" s="8" t="s"/>
      <c r="D90" s="8" t="s"/>
      <c r="H90" s="6" t="s"/>
      <c r="I90" s="6" t="str">
        <f>=IF(ISBLANK(C90),"","("&amp;""""&amp;SUBSTITUTE(C90,"
",""""&amp;","&amp;"""")&amp;""""&amp;")")</f>
        <v/>
      </c>
      <c r="J90" s="6" t="str">
        <f>=IF(ISBLANK(D90),"","("&amp;""""&amp;SUBSTITUTE(D90,"
",""""&amp;","&amp;"""")&amp;""""&amp;")")</f>
        <v/>
      </c>
      <c r="K90" s="6">
        <f>=A90</f>
        <v>0</v>
      </c>
    </row>
    <row r="91" spans="2:11">
      <c r="B91" s="8" t="s"/>
      <c r="C91" s="8" t="s"/>
      <c r="D91" s="8" t="s"/>
      <c r="H91" s="6" t="s"/>
      <c r="I91" s="6" t="str">
        <f>=IF(ISBLANK(C91),"","("&amp;""""&amp;SUBSTITUTE(C91,"
",""""&amp;","&amp;"""")&amp;""""&amp;")")</f>
        <v/>
      </c>
      <c r="J91" s="6" t="str">
        <f>=IF(ISBLANK(D91),"","("&amp;""""&amp;SUBSTITUTE(D91,"
",""""&amp;","&amp;"""")&amp;""""&amp;")")</f>
        <v/>
      </c>
      <c r="K91" s="6">
        <f>=A91</f>
        <v>0</v>
      </c>
    </row>
    <row r="92" spans="2:11">
      <c r="B92" s="8" t="s"/>
      <c r="C92" s="8" t="s"/>
      <c r="D92" s="8" t="s"/>
      <c r="H92" s="6" t="s"/>
      <c r="I92" s="6" t="str">
        <f>=IF(ISBLANK(C92),"","("&amp;""""&amp;SUBSTITUTE(C92,"
",""""&amp;","&amp;"""")&amp;""""&amp;")")</f>
        <v/>
      </c>
      <c r="J92" s="6" t="str">
        <f>=IF(ISBLANK(D92),"","("&amp;""""&amp;SUBSTITUTE(D92,"
",""""&amp;","&amp;"""")&amp;""""&amp;")")</f>
        <v/>
      </c>
      <c r="K92" s="6">
        <f>=A92</f>
        <v>0</v>
      </c>
    </row>
    <row r="93" spans="2:11">
      <c r="B93" s="8" t="s"/>
      <c r="C93" s="8" t="s"/>
      <c r="D93" s="8" t="s"/>
      <c r="H93" s="6" t="s"/>
      <c r="I93" s="6" t="str">
        <f>=IF(ISBLANK(C93),"","("&amp;""""&amp;SUBSTITUTE(C93,"
",""""&amp;","&amp;"""")&amp;""""&amp;")")</f>
        <v/>
      </c>
      <c r="J93" s="6" t="str">
        <f>=IF(ISBLANK(D93),"","("&amp;""""&amp;SUBSTITUTE(D93,"
",""""&amp;","&amp;"""")&amp;""""&amp;")")</f>
        <v/>
      </c>
      <c r="K93" s="6">
        <f>=A93</f>
        <v>0</v>
      </c>
    </row>
    <row r="94" spans="2:11">
      <c r="B94" s="8" t="s"/>
      <c r="C94" s="8" t="s"/>
      <c r="D94" s="8" t="s"/>
      <c r="H94" s="6" t="s"/>
      <c r="I94" s="6" t="str">
        <f>=IF(ISBLANK(C94),"","("&amp;""""&amp;SUBSTITUTE(C94,"
",""""&amp;","&amp;"""")&amp;""""&amp;")")</f>
        <v/>
      </c>
      <c r="J94" s="6" t="str">
        <f>=IF(ISBLANK(D94),"","("&amp;""""&amp;SUBSTITUTE(D94,"
",""""&amp;","&amp;"""")&amp;""""&amp;")")</f>
        <v/>
      </c>
      <c r="K94" s="6">
        <f>=A94</f>
        <v>0</v>
      </c>
    </row>
    <row r="95" spans="2:11">
      <c r="B95" s="8" t="s"/>
      <c r="C95" s="8" t="s"/>
      <c r="D95" s="8" t="s"/>
      <c r="H95" s="6" t="s"/>
      <c r="I95" s="6" t="str">
        <f>=IF(ISBLANK(C95),"","("&amp;""""&amp;SUBSTITUTE(C95,"
",""""&amp;","&amp;"""")&amp;""""&amp;")")</f>
        <v/>
      </c>
      <c r="J95" s="6" t="str">
        <f>=IF(ISBLANK(D95),"","("&amp;""""&amp;SUBSTITUTE(D95,"
",""""&amp;","&amp;"""")&amp;""""&amp;")")</f>
        <v/>
      </c>
      <c r="K95" s="6">
        <f>=A95</f>
        <v>0</v>
      </c>
    </row>
    <row r="96" spans="2:11">
      <c r="B96" s="8" t="s"/>
      <c r="C96" s="8" t="s"/>
      <c r="D96" s="8" t="s"/>
      <c r="H96" s="6" t="s"/>
      <c r="I96" s="6" t="str">
        <f>=IF(ISBLANK(C96),"","("&amp;""""&amp;SUBSTITUTE(C96,"
",""""&amp;","&amp;"""")&amp;""""&amp;")")</f>
        <v/>
      </c>
      <c r="J96" s="6" t="str">
        <f>=IF(ISBLANK(D96),"","("&amp;""""&amp;SUBSTITUTE(D96,"
",""""&amp;","&amp;"""")&amp;""""&amp;")")</f>
        <v/>
      </c>
      <c r="K96" s="6">
        <f>=A96</f>
        <v>0</v>
      </c>
    </row>
    <row r="97" spans="2:11">
      <c r="B97" s="8" t="s"/>
      <c r="C97" s="8" t="s"/>
      <c r="D97" s="8" t="s"/>
      <c r="H97" s="6" t="s"/>
      <c r="I97" s="6" t="str">
        <f>=IF(ISBLANK(C97),"","("&amp;""""&amp;SUBSTITUTE(C97,"
",""""&amp;","&amp;"""")&amp;""""&amp;")")</f>
        <v/>
      </c>
      <c r="J97" s="6" t="str">
        <f>=IF(ISBLANK(D97),"","("&amp;""""&amp;SUBSTITUTE(D97,"
",""""&amp;","&amp;"""")&amp;""""&amp;")")</f>
        <v/>
      </c>
      <c r="K97" s="6">
        <f>=A97</f>
        <v>0</v>
      </c>
    </row>
    <row r="98" spans="2:11">
      <c r="B98" s="8" t="s"/>
      <c r="C98" s="8" t="s"/>
      <c r="D98" s="8" t="s"/>
      <c r="H98" s="6" t="s"/>
      <c r="I98" s="6" t="str">
        <f>=IF(ISBLANK(C98),"","("&amp;""""&amp;SUBSTITUTE(C98,"
",""""&amp;","&amp;"""")&amp;""""&amp;")")</f>
        <v/>
      </c>
      <c r="J98" s="6" t="str">
        <f>=IF(ISBLANK(D98),"","("&amp;""""&amp;SUBSTITUTE(D98,"
",""""&amp;","&amp;"""")&amp;""""&amp;")")</f>
        <v/>
      </c>
      <c r="K98" s="6" t="s"/>
    </row>
    <row r="99" spans="2:11">
      <c r="B99" s="8" t="s"/>
      <c r="C99" s="8" t="s"/>
      <c r="D99" s="8" t="s"/>
      <c r="H99" s="6" t="s"/>
      <c r="I99" s="6" t="str">
        <f>=IF(ISBLANK(C99),"","("&amp;""""&amp;SUBSTITUTE(C99,"
",""""&amp;","&amp;"""")&amp;""""&amp;")")</f>
        <v/>
      </c>
      <c r="J99" s="6" t="str">
        <f>=IF(ISBLANK(D99),"","("&amp;""""&amp;SUBSTITUTE(D99,"
",""""&amp;","&amp;"""")&amp;""""&amp;")")</f>
        <v/>
      </c>
      <c r="K99" s="6" t="s"/>
    </row>
    <row r="100" spans="2:11">
      <c r="B100" s="8" t="s"/>
      <c r="C100" s="8" t="s"/>
      <c r="D100" s="8" t="s"/>
      <c r="H100" s="6" t="s"/>
      <c r="I100" s="6" t="str">
        <f>=IF(ISBLANK(C100),"","("&amp;""""&amp;SUBSTITUTE(C100,"
",""""&amp;","&amp;"""")&amp;""""&amp;")")</f>
        <v/>
      </c>
      <c r="J100" s="6" t="str">
        <f>=IF(ISBLANK(D100),"","("&amp;""""&amp;SUBSTITUTE(D100,"
",""""&amp;","&amp;"""")&amp;""""&amp;")")</f>
        <v/>
      </c>
      <c r="K100" s="6" t="s"/>
    </row>
    <row r="101" spans="2:11">
      <c r="B101" s="8" t="s"/>
      <c r="C101" s="8" t="s"/>
      <c r="D101" s="8" t="s"/>
      <c r="H101" s="6" t="s"/>
      <c r="I101" s="6" t="str">
        <f>=IF(ISBLANK(C101),"","("&amp;""""&amp;SUBSTITUTE(C101,"
",""""&amp;","&amp;"""")&amp;""""&amp;")")</f>
        <v/>
      </c>
      <c r="J101" s="6" t="str">
        <f>=IF(ISBLANK(D101),"","("&amp;""""&amp;SUBSTITUTE(D101,"
",""""&amp;","&amp;"""")&amp;""""&amp;")")</f>
        <v/>
      </c>
      <c r="K101" s="6" t="s"/>
    </row>
    <row r="102" spans="2:11">
      <c r="B102" s="8" t="s"/>
      <c r="C102" s="8" t="s"/>
      <c r="D102" s="8" t="s"/>
      <c r="H102" s="6" t="s"/>
      <c r="I102" s="6" t="str">
        <f>=IF(ISBLANK(C102),"","("&amp;""""&amp;SUBSTITUTE(C102,"
",""""&amp;","&amp;"""")&amp;""""&amp;")")</f>
        <v/>
      </c>
      <c r="J102" s="6" t="str">
        <f>=IF(ISBLANK(D102),"","("&amp;""""&amp;SUBSTITUTE(D102,"
",""""&amp;","&amp;"""")&amp;""""&amp;")")</f>
        <v/>
      </c>
      <c r="K102" s="6" t="s"/>
    </row>
    <row r="103" spans="2:11">
      <c r="B103" s="8" t="s"/>
      <c r="C103" s="8" t="s"/>
      <c r="D103" s="8" t="s"/>
      <c r="H103" s="6" t="s"/>
      <c r="I103" s="6" t="str">
        <f>=IF(ISBLANK(C103),"","("&amp;""""&amp;SUBSTITUTE(C103,"
",""""&amp;","&amp;"""")&amp;""""&amp;")")</f>
        <v/>
      </c>
      <c r="J103" s="6" t="str">
        <f>=IF(ISBLANK(D103),"","("&amp;""""&amp;SUBSTITUTE(D103,"
",""""&amp;","&amp;"""")&amp;""""&amp;")")</f>
        <v/>
      </c>
      <c r="K103" s="6" t="s"/>
    </row>
    <row r="104" spans="2:11">
      <c r="B104" s="8" t="s"/>
      <c r="C104" s="8" t="s"/>
      <c r="D104" s="8" t="s"/>
      <c r="H104" s="6" t="s"/>
      <c r="I104" s="6" t="str">
        <f>=IF(ISBLANK(C104),"","("&amp;""""&amp;SUBSTITUTE(C104,"
",""""&amp;","&amp;"""")&amp;""""&amp;")")</f>
        <v/>
      </c>
      <c r="J104" s="6" t="str">
        <f>=IF(ISBLANK(D104),"","("&amp;""""&amp;SUBSTITUTE(D104,"
",""""&amp;","&amp;"""")&amp;""""&amp;")")</f>
        <v/>
      </c>
      <c r="K104" s="6" t="s"/>
    </row>
    <row r="105" spans="2:11">
      <c r="B105" s="8" t="s"/>
      <c r="C105" s="8" t="s"/>
      <c r="D105" s="8" t="s"/>
      <c r="H105" s="6" t="s"/>
      <c r="I105" s="6" t="str">
        <f>=IF(ISBLANK(C105),"","("&amp;""""&amp;SUBSTITUTE(C105,"
",""""&amp;","&amp;"""")&amp;""""&amp;")")</f>
        <v/>
      </c>
      <c r="J105" s="6" t="str">
        <f>=IF(ISBLANK(D105),"","("&amp;""""&amp;SUBSTITUTE(D105,"
",""""&amp;","&amp;"""")&amp;""""&amp;")")</f>
        <v/>
      </c>
      <c r="K105" s="6" t="s"/>
    </row>
    <row r="106" spans="2:11">
      <c r="B106" s="8" t="s"/>
      <c r="C106" s="8" t="s"/>
      <c r="D106" s="8" t="s"/>
      <c r="H106" s="6" t="s"/>
      <c r="I106" s="6" t="str">
        <f>=IF(ISBLANK(C106),"","("&amp;""""&amp;SUBSTITUTE(C106,"
",""""&amp;","&amp;"""")&amp;""""&amp;")")</f>
        <v/>
      </c>
      <c r="J106" s="6" t="str">
        <f>=IF(ISBLANK(D106),"","("&amp;""""&amp;SUBSTITUTE(D106,"
",""""&amp;","&amp;"""")&amp;""""&amp;")")</f>
        <v/>
      </c>
      <c r="K106" s="6" t="s"/>
    </row>
    <row r="107" spans="2:11">
      <c r="B107" s="8" t="s"/>
      <c r="C107" s="8" t="s"/>
      <c r="D107" s="8" t="s"/>
      <c r="H107" s="6" t="s"/>
      <c r="I107" s="6" t="str">
        <f>=IF(ISBLANK(C107),"","("&amp;""""&amp;SUBSTITUTE(C107,"
",""""&amp;","&amp;"""")&amp;""""&amp;")")</f>
        <v/>
      </c>
      <c r="J107" s="6" t="str">
        <f>=IF(ISBLANK(D107),"","("&amp;""""&amp;SUBSTITUTE(D107,"
",""""&amp;","&amp;"""")&amp;""""&amp;")")</f>
        <v/>
      </c>
      <c r="K107" s="6" t="s"/>
    </row>
    <row r="108" spans="2:11">
      <c r="B108" s="8" t="s"/>
      <c r="C108" s="8" t="s"/>
      <c r="D108" s="8" t="s"/>
      <c r="H108" s="6" t="s"/>
      <c r="I108" s="6" t="str">
        <f>=IF(ISBLANK(C108),"","("&amp;""""&amp;SUBSTITUTE(C108,"
",""""&amp;","&amp;"""")&amp;""""&amp;")")</f>
        <v/>
      </c>
      <c r="J108" s="6" t="str">
        <f>=IF(ISBLANK(D108),"","("&amp;""""&amp;SUBSTITUTE(D108,"
",""""&amp;","&amp;"""")&amp;""""&amp;")")</f>
        <v/>
      </c>
      <c r="K108" s="6" t="s"/>
    </row>
    <row r="109" spans="2:11">
      <c r="B109" s="8" t="s"/>
      <c r="C109" s="8" t="s"/>
      <c r="D109" s="8" t="s"/>
      <c r="H109" s="6" t="s"/>
      <c r="I109" s="6" t="str">
        <f>=IF(ISBLANK(C109),"","("&amp;""""&amp;SUBSTITUTE(C109,"
",""""&amp;","&amp;"""")&amp;""""&amp;")")</f>
        <v/>
      </c>
      <c r="J109" s="6" t="str">
        <f>=IF(ISBLANK(D109),"","("&amp;""""&amp;SUBSTITUTE(D109,"
",""""&amp;","&amp;"""")&amp;""""&amp;")")</f>
        <v/>
      </c>
      <c r="K109" s="6" t="s"/>
    </row>
    <row r="110" spans="2:11">
      <c r="B110" s="8" t="s"/>
      <c r="C110" s="8" t="s"/>
      <c r="D110" s="8" t="s"/>
      <c r="H110" s="6" t="s"/>
      <c r="I110" s="6" t="str">
        <f>=IF(ISBLANK(C110),"","("&amp;""""&amp;SUBSTITUTE(C110,"
",""""&amp;","&amp;"""")&amp;""""&amp;")")</f>
        <v/>
      </c>
      <c r="J110" s="6" t="str">
        <f>=IF(ISBLANK(D110),"","("&amp;""""&amp;SUBSTITUTE(D110,"
",""""&amp;","&amp;"""")&amp;""""&amp;")")</f>
        <v/>
      </c>
      <c r="K110" s="6" t="s"/>
    </row>
    <row r="111" spans="2:11">
      <c r="B111" s="8" t="s"/>
      <c r="C111" s="8" t="s"/>
      <c r="D111" s="8" t="s"/>
      <c r="H111" s="6" t="s"/>
      <c r="I111" s="6" t="str">
        <f>=IF(ISBLANK(C111),"","("&amp;""""&amp;SUBSTITUTE(C111,"
",""""&amp;","&amp;"""")&amp;""""&amp;")")</f>
        <v/>
      </c>
      <c r="J111" s="6" t="str">
        <f>=IF(ISBLANK(D111),"","("&amp;""""&amp;SUBSTITUTE(D111,"
",""""&amp;","&amp;"""")&amp;""""&amp;")")</f>
        <v/>
      </c>
      <c r="K111" s="6" t="s"/>
    </row>
    <row r="112" spans="2:11">
      <c r="B112" s="8" t="s"/>
      <c r="C112" s="8" t="s"/>
      <c r="D112" s="8" t="s"/>
      <c r="H112" s="6" t="s"/>
      <c r="I112" s="6" t="str">
        <f>=IF(ISBLANK(C112),"","("&amp;""""&amp;SUBSTITUTE(C112,"
",""""&amp;","&amp;"""")&amp;""""&amp;")")</f>
        <v/>
      </c>
      <c r="J112" s="6" t="str">
        <f>=IF(ISBLANK(D112),"","("&amp;""""&amp;SUBSTITUTE(D112,"
",""""&amp;","&amp;"""")&amp;""""&amp;")")</f>
        <v/>
      </c>
      <c r="K112" s="6" t="s"/>
    </row>
    <row r="113" spans="2:11">
      <c r="B113" s="8" t="s"/>
      <c r="C113" s="8" t="s"/>
      <c r="D113" s="8" t="s"/>
      <c r="H113" s="6" t="s"/>
      <c r="I113" s="6" t="str">
        <f>=IF(ISBLANK(C113),"","("&amp;""""&amp;SUBSTITUTE(C113,"
",""""&amp;","&amp;"""")&amp;""""&amp;")")</f>
        <v/>
      </c>
      <c r="J113" s="6" t="str">
        <f>=IF(ISBLANK(D113),"","("&amp;""""&amp;SUBSTITUTE(D113,"
",""""&amp;","&amp;"""")&amp;""""&amp;")")</f>
        <v/>
      </c>
      <c r="K113" s="6" t="s"/>
    </row>
    <row r="114" spans="2:11">
      <c r="B114" s="8" t="s"/>
      <c r="C114" s="8" t="s"/>
      <c r="D114" s="8" t="s"/>
      <c r="H114" s="6" t="s"/>
      <c r="I114" s="6" t="str">
        <f>=IF(ISBLANK(C114),"","("&amp;""""&amp;SUBSTITUTE(C114,"
",""""&amp;","&amp;"""")&amp;""""&amp;")")</f>
        <v/>
      </c>
      <c r="J114" s="6" t="str">
        <f>=IF(ISBLANK(D114),"","("&amp;""""&amp;SUBSTITUTE(D114,"
",""""&amp;","&amp;"""")&amp;""""&amp;")")</f>
        <v/>
      </c>
      <c r="K114" s="6" t="s"/>
    </row>
    <row r="115" spans="2:11">
      <c r="B115" s="8" t="s"/>
      <c r="C115" s="8" t="s"/>
      <c r="D115" s="8" t="s"/>
      <c r="H115" s="6" t="s"/>
      <c r="I115" s="6" t="str">
        <f>=IF(ISBLANK(C115),"","("&amp;""""&amp;SUBSTITUTE(C115,"
",""""&amp;","&amp;"""")&amp;""""&amp;")")</f>
        <v/>
      </c>
      <c r="J115" s="6" t="str">
        <f>=IF(ISBLANK(D115),"","("&amp;""""&amp;SUBSTITUTE(D115,"
",""""&amp;","&amp;"""")&amp;""""&amp;")")</f>
        <v/>
      </c>
      <c r="K115" s="6" t="s"/>
    </row>
    <row r="116" spans="2:11">
      <c r="B116" s="8" t="s"/>
      <c r="C116" s="8" t="s"/>
      <c r="D116" s="8" t="s"/>
      <c r="H116" s="6" t="s"/>
      <c r="I116" s="6" t="str">
        <f>=IF(ISBLANK(C116),"","("&amp;""""&amp;SUBSTITUTE(C116,"
",""""&amp;","&amp;"""")&amp;""""&amp;")")</f>
        <v/>
      </c>
      <c r="J116" s="6" t="str">
        <f>=IF(ISBLANK(D116),"","("&amp;""""&amp;SUBSTITUTE(D116,"
",""""&amp;","&amp;"""")&amp;""""&amp;")")</f>
        <v/>
      </c>
      <c r="K116" s="6" t="s"/>
    </row>
    <row r="117" spans="2:11">
      <c r="B117" s="8" t="s"/>
      <c r="C117" s="8" t="s"/>
      <c r="D117" s="8" t="s"/>
      <c r="H117" s="6" t="s"/>
      <c r="I117" s="6" t="str">
        <f>=IF(ISBLANK(C117),"","("&amp;""""&amp;SUBSTITUTE(C117,"
",""""&amp;","&amp;"""")&amp;""""&amp;")")</f>
        <v/>
      </c>
      <c r="J117" s="6" t="str">
        <f>=IF(ISBLANK(D117),"","("&amp;""""&amp;SUBSTITUTE(D117,"
",""""&amp;","&amp;"""")&amp;""""&amp;")")</f>
        <v/>
      </c>
      <c r="K117" s="6" t="s"/>
    </row>
    <row r="118" spans="2:11">
      <c r="B118" s="8" t="s"/>
      <c r="C118" s="8" t="s"/>
      <c r="D118" s="8" t="s"/>
      <c r="H118" s="6" t="s"/>
      <c r="I118" s="6" t="str">
        <f>=IF(ISBLANK(C118),"","("&amp;""""&amp;SUBSTITUTE(C118,"
",""""&amp;","&amp;"""")&amp;""""&amp;")")</f>
        <v/>
      </c>
      <c r="J118" s="6" t="str">
        <f>=IF(ISBLANK(D118),"","("&amp;""""&amp;SUBSTITUTE(D118,"
",""""&amp;","&amp;"""")&amp;""""&amp;")")</f>
        <v/>
      </c>
      <c r="K118" s="6" t="s"/>
    </row>
    <row r="119" spans="2:11">
      <c r="B119" s="8" t="s"/>
      <c r="C119" s="8" t="s"/>
      <c r="D119" s="8" t="s"/>
      <c r="H119" s="6" t="s"/>
      <c r="I119" s="6" t="str">
        <f>=IF(ISBLANK(C119),"","("&amp;""""&amp;SUBSTITUTE(C119,"
",""""&amp;","&amp;"""")&amp;""""&amp;")")</f>
        <v/>
      </c>
      <c r="J119" s="6" t="str">
        <f>=IF(ISBLANK(D119),"","("&amp;""""&amp;SUBSTITUTE(D119,"
",""""&amp;","&amp;"""")&amp;""""&amp;")")</f>
        <v/>
      </c>
      <c r="K119" s="6" t="s"/>
    </row>
    <row r="120" spans="2:11">
      <c r="B120" s="8" t="s"/>
      <c r="C120" s="8" t="s"/>
      <c r="D120" s="8" t="s"/>
      <c r="H120" s="6" t="s"/>
      <c r="I120" s="6" t="str">
        <f>=IF(ISBLANK(C120),"","("&amp;""""&amp;SUBSTITUTE(C120,"
",""""&amp;","&amp;"""")&amp;""""&amp;")")</f>
        <v/>
      </c>
      <c r="J120" s="6" t="str">
        <f>=IF(ISBLANK(D120),"","("&amp;""""&amp;SUBSTITUTE(D120,"
",""""&amp;","&amp;"""")&amp;""""&amp;")")</f>
        <v/>
      </c>
      <c r="K120" s="6" t="s"/>
    </row>
    <row r="121" spans="2:11">
      <c r="B121" s="8" t="s"/>
      <c r="C121" s="8" t="s"/>
      <c r="D121" s="8" t="s"/>
      <c r="H121" s="6" t="s"/>
      <c r="I121" s="6" t="s"/>
      <c r="J121" s="6" t="str">
        <f>=IF(ISBLANK(D121),"","("&amp;""""&amp;SUBSTITUTE(D121,"
",""""&amp;","&amp;"""")&amp;""""&amp;")")</f>
        <v/>
      </c>
      <c r="K121" s="6" t="s"/>
    </row>
    <row r="122" spans="2:11">
      <c r="B122" s="8" t="s"/>
      <c r="C122" s="8" t="s"/>
      <c r="D122" s="8" t="s"/>
      <c r="H122" s="6" t="s"/>
      <c r="I122" s="6" t="s"/>
      <c r="J122" s="6" t="str">
        <f>=IF(ISBLANK(D122),"","("&amp;""""&amp;SUBSTITUTE(D122,"
",""""&amp;","&amp;"""")&amp;""""&amp;")")</f>
        <v/>
      </c>
      <c r="K122" s="6" t="s"/>
    </row>
    <row r="123" spans="2:11">
      <c r="B123" s="8" t="s"/>
      <c r="C123" s="8" t="s"/>
      <c r="D123" s="8" t="s"/>
      <c r="H123" s="6" t="s"/>
      <c r="I123" s="6" t="s"/>
      <c r="J123" s="6" t="str">
        <f>=IF(ISBLANK(D123),"","("&amp;""""&amp;SUBSTITUTE(D123,"
",""""&amp;","&amp;"""")&amp;""""&amp;")")</f>
        <v/>
      </c>
      <c r="K123" s="6" t="s"/>
    </row>
    <row r="124" spans="2:11">
      <c r="B124" s="8" t="s"/>
      <c r="C124" s="8" t="s"/>
      <c r="D124" s="8" t="s"/>
      <c r="H124" s="6" t="s"/>
      <c r="I124" s="6" t="s"/>
      <c r="J124" s="6" t="str">
        <f>=IF(ISBLANK(D124),"","("&amp;""""&amp;SUBSTITUTE(D124,"
",""""&amp;","&amp;"""")&amp;""""&amp;")")</f>
        <v/>
      </c>
      <c r="K124" s="6" t="s"/>
    </row>
    <row r="125" spans="2:11">
      <c r="B125" s="8" t="s"/>
      <c r="C125" s="8" t="s"/>
      <c r="D125" s="8" t="s"/>
      <c r="H125" s="6" t="s"/>
      <c r="I125" s="6" t="s"/>
      <c r="J125" s="6" t="str">
        <f>=IF(ISBLANK(D125),"","("&amp;""""&amp;SUBSTITUTE(D125,"
",""""&amp;","&amp;"""")&amp;""""&amp;")")</f>
        <v/>
      </c>
      <c r="K125" s="6" t="s"/>
    </row>
    <row r="126" spans="2:11">
      <c r="B126" s="8" t="s"/>
      <c r="C126" s="8" t="s"/>
      <c r="D126" s="8" t="s"/>
      <c r="H126" s="6" t="s"/>
      <c r="I126" s="6" t="s"/>
      <c r="J126" s="6" t="str">
        <f>=IF(ISBLANK(D126),"","("&amp;""""&amp;SUBSTITUTE(D126,"
",""""&amp;","&amp;"""")&amp;""""&amp;")")</f>
        <v/>
      </c>
      <c r="K126" s="6" t="s"/>
    </row>
    <row r="127" spans="2:11">
      <c r="B127" s="8" t="s"/>
      <c r="C127" s="8" t="s"/>
      <c r="D127" s="8" t="s"/>
      <c r="H127" s="6" t="s"/>
      <c r="I127" s="6" t="s"/>
      <c r="J127" s="6" t="str">
        <f>=IF(ISBLANK(D127),"","("&amp;""""&amp;SUBSTITUTE(D127,"
",""""&amp;","&amp;"""")&amp;""""&amp;")")</f>
        <v/>
      </c>
      <c r="K127" s="6" t="s"/>
    </row>
    <row r="128" spans="2:11">
      <c r="B128" s="8" t="s"/>
      <c r="C128" s="8" t="s"/>
      <c r="D128" s="8" t="s"/>
      <c r="H128" s="6" t="s"/>
      <c r="I128" s="6" t="s"/>
      <c r="J128" s="6" t="str">
        <f>=IF(ISBLANK(D128),"","("&amp;""""&amp;SUBSTITUTE(D128,"
",""""&amp;","&amp;"""")&amp;""""&amp;")")</f>
        <v/>
      </c>
      <c r="K128" s="6" t="s"/>
    </row>
    <row r="129" spans="2:11">
      <c r="B129" s="8" t="s"/>
      <c r="C129" s="8" t="s"/>
      <c r="D129" s="8" t="s"/>
      <c r="H129" s="6" t="s"/>
      <c r="I129" s="6" t="s"/>
      <c r="J129" s="6" t="str">
        <f>=IF(ISBLANK(D129),"","("&amp;""""&amp;SUBSTITUTE(D129,"
",""""&amp;","&amp;"""")&amp;""""&amp;")")</f>
        <v/>
      </c>
      <c r="K129" s="6" t="s"/>
    </row>
    <row r="130" spans="2:11">
      <c r="B130" s="8" t="s"/>
      <c r="C130" s="8" t="s"/>
      <c r="D130" s="8" t="s"/>
      <c r="H130" s="6" t="s"/>
      <c r="I130" s="6" t="s"/>
      <c r="J130" s="6" t="str">
        <f>=IF(ISBLANK(D130),"","("&amp;""""&amp;SUBSTITUTE(D130,"
",""""&amp;","&amp;"""")&amp;""""&amp;")")</f>
        <v/>
      </c>
      <c r="K130" s="6" t="s"/>
    </row>
    <row r="131" spans="2:11">
      <c r="B131" s="8" t="s"/>
      <c r="C131" s="8" t="s"/>
      <c r="D131" s="8" t="s"/>
      <c r="H131" s="6" t="s"/>
      <c r="I131" s="6" t="s"/>
      <c r="J131" s="6" t="str">
        <f>=IF(ISBLANK(D131),"","("&amp;""""&amp;SUBSTITUTE(D131,"
",""""&amp;","&amp;"""")&amp;""""&amp;")")</f>
        <v/>
      </c>
      <c r="K131" s="6" t="s"/>
    </row>
    <row r="132" spans="2:11">
      <c r="B132" s="8" t="s"/>
      <c r="C132" s="8" t="s"/>
      <c r="D132" s="8" t="s"/>
      <c r="H132" s="6" t="s"/>
      <c r="I132" s="6" t="s"/>
      <c r="J132" s="6" t="str">
        <f>=IF(ISBLANK(D132),"","("&amp;""""&amp;SUBSTITUTE(D132,"
",""""&amp;","&amp;"""")&amp;""""&amp;")")</f>
        <v/>
      </c>
      <c r="K132" s="6" t="s"/>
    </row>
    <row r="133" spans="2:11">
      <c r="B133" s="8" t="s"/>
      <c r="C133" s="8" t="s"/>
      <c r="D133" s="8" t="s"/>
      <c r="H133" s="6" t="s"/>
      <c r="I133" s="6" t="s"/>
      <c r="J133" s="6" t="str">
        <f>=IF(ISBLANK(D133),"","("&amp;""""&amp;SUBSTITUTE(D133,"
",""""&amp;","&amp;"""")&amp;""""&amp;")")</f>
        <v/>
      </c>
      <c r="K133" s="6" t="s"/>
    </row>
    <row r="134" spans="2:11">
      <c r="B134" s="8" t="s"/>
      <c r="C134" s="8" t="s"/>
      <c r="D134" s="8" t="s"/>
      <c r="H134" s="6" t="s"/>
      <c r="I134" s="6" t="s"/>
      <c r="J134" s="6" t="str">
        <f>=IF(ISBLANK(D134),"","("&amp;""""&amp;SUBSTITUTE(D134,"
",""""&amp;","&amp;"""")&amp;""""&amp;")")</f>
        <v/>
      </c>
      <c r="K134" s="6" t="s"/>
    </row>
    <row r="135" spans="2:11">
      <c r="B135" s="8" t="s"/>
      <c r="C135" s="8" t="s"/>
      <c r="D135" s="8" t="s"/>
      <c r="H135" s="6" t="s"/>
      <c r="I135" s="6" t="s"/>
      <c r="J135" s="6" t="str">
        <f>=IF(ISBLANK(D135),"","("&amp;""""&amp;SUBSTITUTE(D135,"
",""""&amp;","&amp;"""")&amp;""""&amp;")")</f>
        <v/>
      </c>
      <c r="K135" s="6" t="s"/>
    </row>
    <row r="136" spans="2:11">
      <c r="B136" s="8" t="s"/>
      <c r="C136" s="8" t="s"/>
      <c r="D136" s="8" t="s"/>
      <c r="H136" s="6" t="s"/>
      <c r="I136" s="6" t="s"/>
      <c r="J136" s="6" t="str">
        <f>=IF(ISBLANK(D136),"","("&amp;""""&amp;SUBSTITUTE(D136,"
",""""&amp;","&amp;"""")&amp;""""&amp;")")</f>
        <v/>
      </c>
      <c r="K136" s="6" t="s"/>
    </row>
    <row r="137" spans="2:11">
      <c r="B137" s="8" t="s"/>
      <c r="C137" s="8" t="s"/>
      <c r="D137" s="8" t="s"/>
      <c r="H137" s="6" t="s"/>
      <c r="I137" s="6" t="s"/>
      <c r="J137" s="6" t="str">
        <f>=IF(ISBLANK(D137),"","("&amp;""""&amp;SUBSTITUTE(D137,"
",""""&amp;","&amp;"""")&amp;""""&amp;")")</f>
        <v/>
      </c>
      <c r="K137" s="6" t="s"/>
    </row>
    <row r="138" spans="2:11">
      <c r="B138" s="8" t="s"/>
      <c r="C138" s="8" t="s"/>
      <c r="D138" s="8" t="s"/>
      <c r="H138" s="6" t="s"/>
      <c r="I138" s="6" t="s"/>
      <c r="J138" s="6" t="str">
        <f>=IF(ISBLANK(D138),"","("&amp;""""&amp;SUBSTITUTE(D138,"
",""""&amp;","&amp;"""")&amp;""""&amp;")")</f>
        <v/>
      </c>
      <c r="K138" s="6" t="s"/>
    </row>
    <row r="139" spans="2:11">
      <c r="B139" s="8" t="s"/>
      <c r="C139" s="8" t="s"/>
      <c r="D139" s="8" t="s"/>
      <c r="H139" s="6" t="s"/>
      <c r="I139" s="6" t="s"/>
      <c r="J139" s="6" t="str">
        <f>=IF(ISBLANK(D139),"","("&amp;""""&amp;SUBSTITUTE(D139,"
",""""&amp;","&amp;"""")&amp;""""&amp;")")</f>
        <v/>
      </c>
      <c r="K139" s="6" t="s"/>
    </row>
    <row r="140" spans="2:11">
      <c r="B140" s="8" t="s"/>
      <c r="C140" s="8" t="s"/>
      <c r="D140" s="8" t="s"/>
      <c r="H140" s="6" t="s"/>
      <c r="I140" s="6" t="s"/>
      <c r="J140" s="6" t="str">
        <f>=IF(ISBLANK(D140),"","("&amp;""""&amp;SUBSTITUTE(D140,"
",""""&amp;","&amp;"""")&amp;""""&amp;")")</f>
        <v/>
      </c>
      <c r="K140" s="6" t="s"/>
    </row>
    <row r="141" spans="2:11">
      <c r="B141" s="8" t="s"/>
      <c r="C141" s="8" t="s"/>
      <c r="D141" s="8" t="s"/>
      <c r="H141" s="6" t="s"/>
      <c r="I141" s="6" t="s"/>
      <c r="J141" s="6" t="str">
        <f>=IF(ISBLANK(D141),"","("&amp;""""&amp;SUBSTITUTE(D141,"
",""""&amp;","&amp;"""")&amp;""""&amp;")")</f>
        <v/>
      </c>
      <c r="K141" s="6" t="s"/>
    </row>
    <row r="142" spans="2:11">
      <c r="B142" s="8" t="s"/>
      <c r="C142" s="8" t="s"/>
      <c r="D142" s="8" t="s"/>
      <c r="H142" s="6" t="s"/>
      <c r="I142" s="6" t="s"/>
      <c r="J142" s="6" t="str">
        <f>=IF(ISBLANK(D142),"","("&amp;""""&amp;SUBSTITUTE(D142,"
",""""&amp;","&amp;"""")&amp;""""&amp;")")</f>
        <v/>
      </c>
      <c r="K142" s="6" t="s"/>
    </row>
    <row r="143" spans="2:11">
      <c r="B143" s="8" t="s"/>
      <c r="C143" s="8" t="s"/>
      <c r="D143" s="8" t="s"/>
      <c r="H143" s="6" t="s"/>
      <c r="I143" s="6" t="s"/>
      <c r="J143" s="6" t="str">
        <f>=IF(ISBLANK(D143),"","("&amp;""""&amp;SUBSTITUTE(D143,"
",""""&amp;","&amp;"""")&amp;""""&amp;")")</f>
        <v/>
      </c>
      <c r="K143" s="6" t="s"/>
    </row>
    <row r="144" spans="2:11">
      <c r="B144" s="8" t="s"/>
      <c r="C144" s="8" t="s"/>
      <c r="D144" s="8" t="s"/>
      <c r="H144" s="6" t="s"/>
      <c r="I144" s="6" t="s"/>
      <c r="J144" s="6" t="str">
        <f>=IF(ISBLANK(D144),"","("&amp;""""&amp;SUBSTITUTE(D144,"
",""""&amp;","&amp;"""")&amp;""""&amp;")")</f>
        <v/>
      </c>
      <c r="K144" s="6" t="s"/>
    </row>
    <row r="145" spans="2:11">
      <c r="B145" s="8" t="s"/>
      <c r="C145" s="8" t="s"/>
      <c r="D145" s="8" t="s"/>
      <c r="H145" s="6" t="s"/>
      <c r="I145" s="6" t="s"/>
      <c r="J145" s="6" t="str">
        <f>=IF(ISBLANK(D145),"","("&amp;""""&amp;SUBSTITUTE(D145,"
",""""&amp;","&amp;"""")&amp;""""&amp;")")</f>
        <v/>
      </c>
      <c r="K145" s="6" t="s"/>
    </row>
    <row r="146" spans="2:11">
      <c r="B146" s="8" t="s"/>
      <c r="C146" s="8" t="s"/>
      <c r="D146" s="8" t="s"/>
      <c r="H146" s="6" t="s"/>
      <c r="I146" s="6" t="s"/>
      <c r="J146" s="6" t="str">
        <f>=IF(ISBLANK(D146),"","("&amp;""""&amp;SUBSTITUTE(D146,"
",""""&amp;","&amp;"""")&amp;""""&amp;")")</f>
        <v/>
      </c>
      <c r="K146" s="6" t="s"/>
    </row>
    <row r="147" spans="2:11">
      <c r="B147" s="8" t="s"/>
      <c r="C147" s="8" t="s"/>
      <c r="D147" s="8" t="s"/>
      <c r="H147" s="6" t="s"/>
      <c r="I147" s="6" t="s"/>
      <c r="J147" s="6" t="str">
        <f>=IF(ISBLANK(D147),"","("&amp;""""&amp;SUBSTITUTE(D147,"
",""""&amp;","&amp;"""")&amp;""""&amp;")")</f>
        <v/>
      </c>
      <c r="K147" s="6" t="s"/>
    </row>
    <row r="148" spans="2:11">
      <c r="B148" s="8" t="s"/>
      <c r="C148" s="8" t="s"/>
      <c r="D148" s="8" t="s"/>
      <c r="H148" s="6" t="s"/>
      <c r="I148" s="6" t="s"/>
      <c r="J148" s="6" t="str">
        <f>=IF(ISBLANK(D148),"","("&amp;""""&amp;SUBSTITUTE(D148,"
",""""&amp;","&amp;"""")&amp;""""&amp;")")</f>
        <v/>
      </c>
      <c r="K148" s="6" t="s"/>
    </row>
    <row r="149" spans="2:11">
      <c r="B149" s="8" t="s"/>
      <c r="C149" s="8" t="s"/>
      <c r="D149" s="8" t="s"/>
      <c r="H149" s="6" t="s"/>
      <c r="I149" s="6" t="s"/>
      <c r="J149" s="6" t="str">
        <f>=IF(ISBLANK(D149),"","("&amp;""""&amp;SUBSTITUTE(D149,"
",""""&amp;","&amp;"""")&amp;""""&amp;")")</f>
        <v/>
      </c>
      <c r="K149" s="6" t="s"/>
    </row>
    <row r="150" spans="2:11">
      <c r="B150" s="8" t="s"/>
      <c r="C150" s="8" t="s"/>
      <c r="D150" s="8" t="s"/>
      <c r="H150" s="6" t="s"/>
      <c r="I150" s="6" t="s"/>
      <c r="J150" s="6" t="str">
        <f>=IF(ISBLANK(D150),"","("&amp;""""&amp;SUBSTITUTE(D150,"
",""""&amp;","&amp;"""")&amp;""""&amp;")")</f>
        <v/>
      </c>
      <c r="K150" s="6" t="s"/>
    </row>
    <row r="151" spans="2:11">
      <c r="B151" s="8" t="s"/>
      <c r="C151" s="8" t="s"/>
      <c r="D151" s="8" t="s"/>
      <c r="H151" s="6" t="s"/>
      <c r="I151" s="6" t="s"/>
      <c r="J151" s="6" t="str">
        <f>=IF(ISBLANK(D151),"","("&amp;""""&amp;SUBSTITUTE(D151,"
",""""&amp;","&amp;"""")&amp;""""&amp;")")</f>
        <v/>
      </c>
      <c r="K151" s="6" t="s"/>
    </row>
    <row r="152" spans="2:11">
      <c r="B152" s="8" t="s"/>
      <c r="C152" s="8" t="s"/>
      <c r="D152" s="8" t="s"/>
      <c r="H152" s="6" t="s"/>
      <c r="I152" s="6" t="s"/>
      <c r="J152" s="6" t="str">
        <f>=IF(ISBLANK(D152),"","("&amp;""""&amp;SUBSTITUTE(D152,"
",""""&amp;","&amp;"""")&amp;""""&amp;")")</f>
        <v/>
      </c>
      <c r="K152" s="6" t="s"/>
    </row>
    <row r="153" spans="2:11">
      <c r="B153" s="8" t="s"/>
      <c r="C153" s="8" t="s"/>
      <c r="D153" s="8" t="s"/>
      <c r="H153" s="6" t="s"/>
      <c r="I153" s="6" t="s"/>
      <c r="J153" s="6" t="str">
        <f>=IF(ISBLANK(D153),"","("&amp;""""&amp;SUBSTITUTE(D153,"
",""""&amp;","&amp;"""")&amp;""""&amp;")")</f>
        <v/>
      </c>
      <c r="K153" s="6" t="s"/>
    </row>
    <row r="154" spans="2:11">
      <c r="B154" s="8" t="s"/>
      <c r="C154" s="8" t="s"/>
      <c r="D154" s="8" t="s"/>
      <c r="H154" s="6" t="s"/>
      <c r="I154" s="6" t="s"/>
      <c r="J154" s="6" t="str">
        <f>=IF(ISBLANK(D154),"","("&amp;""""&amp;SUBSTITUTE(D154,"
",""""&amp;","&amp;"""")&amp;""""&amp;")")</f>
        <v/>
      </c>
      <c r="K154" s="6" t="s"/>
    </row>
    <row r="155" spans="2:11">
      <c r="B155" s="8" t="s"/>
      <c r="C155" s="8" t="s"/>
      <c r="D155" s="8" t="s"/>
      <c r="H155" s="6" t="s"/>
      <c r="I155" s="6" t="s"/>
      <c r="J155" s="6" t="str">
        <f>=IF(ISBLANK(D155),"","("&amp;""""&amp;SUBSTITUTE(D155,"
",""""&amp;","&amp;"""")&amp;""""&amp;")")</f>
        <v/>
      </c>
      <c r="K155" s="6" t="s"/>
    </row>
    <row r="156" spans="2:11">
      <c r="B156" s="8" t="s"/>
      <c r="C156" s="8" t="s"/>
      <c r="D156" s="8" t="s"/>
      <c r="H156" s="6" t="s"/>
      <c r="I156" s="6" t="s"/>
      <c r="J156" s="6" t="str">
        <f>=IF(ISBLANK(D156),"","("&amp;""""&amp;SUBSTITUTE(D156,"
",""""&amp;","&amp;"""")&amp;""""&amp;")")</f>
        <v/>
      </c>
      <c r="K156" s="6" t="s"/>
    </row>
    <row r="157" spans="2:11">
      <c r="B157" s="8" t="s"/>
      <c r="C157" s="8" t="s"/>
      <c r="D157" s="8" t="s"/>
      <c r="H157" s="6" t="s"/>
      <c r="I157" s="6" t="s"/>
      <c r="J157" s="6" t="str">
        <f>=IF(ISBLANK(D157),"","("&amp;""""&amp;SUBSTITUTE(D157,"
",""""&amp;","&amp;"""")&amp;""""&amp;")")</f>
        <v/>
      </c>
      <c r="K157" s="6" t="s"/>
    </row>
    <row r="158" spans="2:11">
      <c r="B158" s="8" t="s"/>
      <c r="C158" s="8" t="s"/>
      <c r="D158" s="8" t="s"/>
      <c r="H158" s="6" t="s"/>
      <c r="I158" s="6" t="s"/>
      <c r="J158" s="6" t="str">
        <f>=IF(ISBLANK(D158),"","("&amp;""""&amp;SUBSTITUTE(D158,"
",""""&amp;","&amp;"""")&amp;""""&amp;")")</f>
        <v/>
      </c>
      <c r="K158" s="6" t="s"/>
    </row>
    <row r="159" spans="2:11">
      <c r="B159" s="8" t="s"/>
      <c r="C159" s="8" t="s"/>
      <c r="D159" s="8" t="s"/>
      <c r="H159" s="6" t="s"/>
      <c r="I159" s="6" t="s"/>
      <c r="J159" s="6" t="str">
        <f>=IF(ISBLANK(D159),"","("&amp;""""&amp;SUBSTITUTE(D159,"
",""""&amp;","&amp;"""")&amp;""""&amp;")")</f>
        <v/>
      </c>
      <c r="K159" s="6" t="s"/>
    </row>
    <row r="160" spans="2:11">
      <c r="B160" s="8" t="s"/>
      <c r="C160" s="8" t="s"/>
      <c r="D160" s="8" t="s"/>
      <c r="H160" s="6" t="s"/>
      <c r="I160" s="6" t="s"/>
      <c r="J160" s="6" t="str">
        <f>=IF(ISBLANK(D160),"","("&amp;""""&amp;SUBSTITUTE(D160,"
",""""&amp;","&amp;"""")&amp;""""&amp;")")</f>
        <v/>
      </c>
      <c r="K160" s="6" t="s"/>
    </row>
    <row r="161" spans="2:11">
      <c r="B161" s="8" t="s"/>
      <c r="C161" s="8" t="s"/>
      <c r="D161" s="8" t="s"/>
      <c r="H161" s="6" t="s"/>
      <c r="I161" s="6" t="s"/>
      <c r="J161" s="6" t="str">
        <f>=IF(ISBLANK(D161),"","("&amp;""""&amp;SUBSTITUTE(D161,"
",""""&amp;","&amp;"""")&amp;""""&amp;")")</f>
        <v/>
      </c>
      <c r="K161" s="6" t="s"/>
    </row>
    <row r="162" spans="2:11">
      <c r="B162" s="8" t="s"/>
      <c r="C162" s="8" t="s"/>
      <c r="D162" s="8" t="s"/>
      <c r="H162" s="6" t="s"/>
      <c r="I162" s="6" t="s"/>
      <c r="J162" s="6" t="str">
        <f>=IF(ISBLANK(D162),"","("&amp;""""&amp;SUBSTITUTE(D162,"
",""""&amp;","&amp;"""")&amp;""""&amp;")")</f>
        <v/>
      </c>
      <c r="K162" s="6" t="s"/>
    </row>
    <row r="163" spans="2:11">
      <c r="B163" s="8" t="s"/>
      <c r="C163" s="8" t="s"/>
      <c r="D163" s="8" t="s"/>
      <c r="H163" s="6" t="s"/>
      <c r="I163" s="6" t="s"/>
      <c r="J163" s="6" t="str">
        <f>=IF(ISBLANK(D163),"","("&amp;""""&amp;SUBSTITUTE(D163,"
",""""&amp;","&amp;"""")&amp;""""&amp;")")</f>
        <v/>
      </c>
      <c r="K163" s="6" t="s"/>
    </row>
    <row r="164" spans="2:11">
      <c r="B164" s="8" t="s"/>
      <c r="C164" s="8" t="s"/>
      <c r="D164" s="8" t="s"/>
      <c r="H164" s="6" t="s"/>
      <c r="I164" s="6" t="s"/>
      <c r="J164" s="6" t="str">
        <f>=IF(ISBLANK(D164),"","("&amp;""""&amp;SUBSTITUTE(D164,"
",""""&amp;","&amp;"""")&amp;""""&amp;")")</f>
        <v/>
      </c>
      <c r="K164" s="6" t="s"/>
    </row>
    <row r="165" spans="2:11">
      <c r="B165" s="8" t="s"/>
      <c r="C165" s="8" t="s"/>
      <c r="D165" s="8" t="s"/>
      <c r="H165" s="6" t="s"/>
      <c r="I165" s="6" t="s"/>
      <c r="J165" s="6" t="str">
        <f>=IF(ISBLANK(D165),"","("&amp;""""&amp;SUBSTITUTE(D165,"
",""""&amp;","&amp;"""")&amp;""""&amp;")")</f>
        <v/>
      </c>
      <c r="K165" s="6" t="s"/>
    </row>
    <row r="166" spans="2:11">
      <c r="B166" s="8" t="s"/>
      <c r="C166" s="8" t="s"/>
      <c r="D166" s="8" t="s"/>
      <c r="H166" s="6" t="s"/>
      <c r="I166" s="6" t="s"/>
      <c r="J166" s="6" t="str">
        <f>=IF(ISBLANK(D166),"","("&amp;""""&amp;SUBSTITUTE(D166,"
",""""&amp;","&amp;"""")&amp;""""&amp;")")</f>
        <v/>
      </c>
      <c r="K166" s="6" t="s"/>
    </row>
    <row r="167" spans="2:11">
      <c r="B167" s="8" t="s"/>
      <c r="C167" s="8" t="s"/>
      <c r="D167" s="8" t="s"/>
      <c r="H167" s="6" t="s"/>
      <c r="I167" s="6" t="s"/>
      <c r="J167" s="6" t="str">
        <f>=IF(ISBLANK(D167),"","("&amp;""""&amp;SUBSTITUTE(D167,"
",""""&amp;","&amp;"""")&amp;""""&amp;")")</f>
        <v/>
      </c>
      <c r="K167" s="6" t="s"/>
    </row>
    <row r="168" spans="2:11">
      <c r="B168" s="8" t="s"/>
      <c r="C168" s="8" t="s"/>
      <c r="D168" s="8" t="s"/>
      <c r="H168" s="6" t="s"/>
      <c r="I168" s="6" t="s"/>
      <c r="J168" s="6" t="str">
        <f>=IF(ISBLANK(D168),"","("&amp;""""&amp;SUBSTITUTE(D168,"
",""""&amp;","&amp;"""")&amp;""""&amp;")")</f>
        <v/>
      </c>
      <c r="K168" s="6" t="s"/>
    </row>
    <row r="169" spans="2:11">
      <c r="B169" s="8" t="s"/>
      <c r="C169" s="8" t="s"/>
      <c r="D169" s="8" t="s"/>
      <c r="H169" s="6" t="s"/>
      <c r="I169" s="6" t="s"/>
      <c r="J169" s="6" t="str">
        <f>=IF(ISBLANK(D169),"","("&amp;""""&amp;SUBSTITUTE(D169,"
",""""&amp;","&amp;"""")&amp;""""&amp;")")</f>
        <v/>
      </c>
      <c r="K169" s="6" t="s"/>
    </row>
    <row r="170" spans="2:11">
      <c r="B170" s="8" t="s"/>
      <c r="C170" s="8" t="s"/>
      <c r="D170" s="8" t="s"/>
      <c r="H170" s="6" t="s"/>
      <c r="I170" s="6" t="s"/>
      <c r="J170" s="6" t="str">
        <f>=IF(ISBLANK(D170),"","("&amp;""""&amp;SUBSTITUTE(D170,"
",""""&amp;","&amp;"""")&amp;""""&amp;")")</f>
        <v/>
      </c>
      <c r="K170" s="6" t="s"/>
    </row>
    <row r="171" spans="2:11">
      <c r="B171" s="8" t="s"/>
      <c r="C171" s="8" t="s"/>
      <c r="D171" s="8" t="s"/>
      <c r="H171" s="6" t="s"/>
      <c r="I171" s="6" t="s"/>
      <c r="J171" s="6" t="str">
        <f>=IF(ISBLANK(D171),"","("&amp;""""&amp;SUBSTITUTE(D171,"
",""""&amp;","&amp;"""")&amp;""""&amp;")")</f>
        <v/>
      </c>
      <c r="K171" s="6" t="s"/>
    </row>
    <row r="172" spans="2:11">
      <c r="B172" s="8" t="s"/>
      <c r="C172" s="8" t="s"/>
      <c r="D172" s="8" t="s"/>
      <c r="H172" s="6" t="s"/>
      <c r="I172" s="6" t="s"/>
      <c r="J172" s="6" t="str">
        <f>=IF(ISBLANK(D172),"","("&amp;""""&amp;SUBSTITUTE(D172,"
",""""&amp;","&amp;"""")&amp;""""&amp;")")</f>
        <v/>
      </c>
      <c r="K172" s="6" t="s"/>
    </row>
    <row r="173" spans="2:11">
      <c r="B173" s="8" t="s"/>
      <c r="C173" s="8" t="s"/>
      <c r="D173" s="8" t="s"/>
      <c r="H173" s="6" t="s"/>
      <c r="I173" s="6" t="s"/>
      <c r="J173" s="6" t="str">
        <f>=IF(ISBLANK(D173),"","("&amp;""""&amp;SUBSTITUTE(D173,"
",""""&amp;","&amp;"""")&amp;""""&amp;")")</f>
        <v/>
      </c>
      <c r="K173" s="6" t="s"/>
    </row>
    <row r="174" spans="2:11">
      <c r="B174" s="8" t="s"/>
      <c r="C174" s="8" t="s"/>
      <c r="D174" s="8" t="s"/>
      <c r="H174" s="6" t="s"/>
      <c r="I174" s="6" t="s"/>
      <c r="J174" s="6" t="str">
        <f>=IF(ISBLANK(D174),"","("&amp;""""&amp;SUBSTITUTE(D174,"
",""""&amp;","&amp;"""")&amp;""""&amp;")")</f>
        <v/>
      </c>
      <c r="K174" s="6" t="s"/>
    </row>
    <row r="175" spans="2:11">
      <c r="B175" s="8" t="s"/>
      <c r="C175" s="8" t="s"/>
      <c r="D175" s="8" t="s"/>
      <c r="H175" s="6" t="s"/>
      <c r="I175" s="6" t="s"/>
      <c r="J175" s="6" t="str">
        <f>=IF(ISBLANK(D175),"","("&amp;""""&amp;SUBSTITUTE(D175,"
",""""&amp;","&amp;"""")&amp;""""&amp;")")</f>
        <v/>
      </c>
      <c r="K175" s="6" t="s"/>
    </row>
    <row r="176" spans="2:11">
      <c r="B176" s="8" t="s"/>
      <c r="C176" s="8" t="s"/>
      <c r="D176" s="8" t="s"/>
      <c r="H176" s="6" t="s"/>
      <c r="I176" s="6" t="s"/>
      <c r="J176" s="6" t="str">
        <f>=IF(ISBLANK(D176),"","("&amp;""""&amp;SUBSTITUTE(D176,"
",""""&amp;","&amp;"""")&amp;""""&amp;")")</f>
        <v/>
      </c>
      <c r="K176" s="6" t="s"/>
    </row>
    <row r="177" spans="2:11">
      <c r="B177" s="8" t="s"/>
      <c r="C177" s="8" t="s"/>
      <c r="D177" s="8" t="s"/>
      <c r="H177" s="6" t="s"/>
      <c r="I177" s="6" t="s"/>
      <c r="J177" s="6" t="str">
        <f>=IF(ISBLANK(D177),"","("&amp;""""&amp;SUBSTITUTE(D177,"
",""""&amp;","&amp;"""")&amp;""""&amp;")")</f>
        <v/>
      </c>
      <c r="K177" s="6" t="s"/>
    </row>
    <row r="178" spans="2:11">
      <c r="B178" s="8" t="s"/>
      <c r="C178" s="8" t="s"/>
      <c r="D178" s="8" t="s"/>
      <c r="H178" s="6" t="s"/>
      <c r="I178" s="6" t="s"/>
      <c r="J178" s="6" t="str">
        <f>=IF(ISBLANK(D178),"","("&amp;""""&amp;SUBSTITUTE(D178,"
",""""&amp;","&amp;"""")&amp;""""&amp;")")</f>
        <v/>
      </c>
      <c r="K178" s="6" t="s"/>
    </row>
    <row r="179" spans="2:11">
      <c r="B179" s="8" t="s"/>
      <c r="C179" s="8" t="s"/>
      <c r="D179" s="8" t="s"/>
      <c r="H179" s="6" t="s"/>
      <c r="I179" s="6" t="s"/>
      <c r="J179" s="6" t="str">
        <f>=IF(ISBLANK(D179),"","("&amp;""""&amp;SUBSTITUTE(D179,"
",""""&amp;","&amp;"""")&amp;""""&amp;")")</f>
        <v/>
      </c>
      <c r="K179" s="6" t="s"/>
    </row>
    <row r="180" spans="2:11">
      <c r="B180" s="8" t="s"/>
      <c r="C180" s="8" t="s"/>
      <c r="D180" s="8" t="s"/>
      <c r="H180" s="6" t="s"/>
      <c r="I180" s="6" t="s"/>
      <c r="J180" s="6" t="str">
        <f>=IF(ISBLANK(D180),"","("&amp;""""&amp;SUBSTITUTE(D180,"
",""""&amp;","&amp;"""")&amp;""""&amp;")")</f>
        <v/>
      </c>
      <c r="K180" s="6" t="s"/>
    </row>
    <row r="181" spans="2:11">
      <c r="B181" s="8" t="s"/>
      <c r="C181" s="8" t="s"/>
      <c r="D181" s="8" t="s"/>
      <c r="H181" s="6" t="s"/>
      <c r="I181" s="6" t="s"/>
      <c r="J181" s="6" t="str">
        <f>=IF(ISBLANK(D181),"","("&amp;""""&amp;SUBSTITUTE(D181,"
",""""&amp;","&amp;"""")&amp;""""&amp;")")</f>
        <v/>
      </c>
      <c r="K181" s="6" t="s"/>
    </row>
    <row r="182" spans="2:11">
      <c r="B182" s="8" t="s"/>
      <c r="C182" s="8" t="s"/>
      <c r="D182" s="8" t="s"/>
      <c r="H182" s="6" t="s"/>
      <c r="I182" s="6" t="s"/>
      <c r="J182" s="6" t="str">
        <f>=IF(ISBLANK(D182),"","("&amp;""""&amp;SUBSTITUTE(D182,"
",""""&amp;","&amp;"""")&amp;""""&amp;")")</f>
        <v/>
      </c>
      <c r="K182" s="6" t="s"/>
    </row>
    <row r="183" spans="2:11">
      <c r="B183" s="8" t="s"/>
      <c r="C183" s="8" t="s"/>
      <c r="D183" s="8" t="s"/>
      <c r="H183" s="6" t="s"/>
      <c r="I183" s="6" t="s"/>
      <c r="J183" s="6" t="str">
        <f>=IF(ISBLANK(D183),"","("&amp;""""&amp;SUBSTITUTE(D183,"
",""""&amp;","&amp;"""")&amp;""""&amp;")")</f>
        <v/>
      </c>
      <c r="K183" s="6" t="s"/>
    </row>
    <row r="184" spans="2:11">
      <c r="B184" s="8" t="s"/>
      <c r="C184" s="8" t="s"/>
      <c r="D184" s="8" t="s"/>
      <c r="H184" s="6" t="s"/>
      <c r="I184" s="6" t="s"/>
      <c r="J184" s="6" t="str">
        <f>=IF(ISBLANK(D184),"","("&amp;""""&amp;SUBSTITUTE(D184,"
",""""&amp;","&amp;"""")&amp;""""&amp;")")</f>
        <v/>
      </c>
      <c r="K184" s="6" t="s"/>
    </row>
    <row r="185" spans="2:11">
      <c r="B185" s="8" t="s"/>
      <c r="C185" s="8" t="s"/>
      <c r="D185" s="8" t="s"/>
      <c r="H185" s="6" t="s"/>
      <c r="I185" s="6" t="s"/>
      <c r="J185" s="6" t="str">
        <f>=IF(ISBLANK(D185),"","("&amp;""""&amp;SUBSTITUTE(D185,"
",""""&amp;","&amp;"""")&amp;""""&amp;")")</f>
        <v/>
      </c>
      <c r="K185" s="6" t="s"/>
    </row>
    <row r="186" spans="2:11">
      <c r="B186" s="8" t="s"/>
      <c r="C186" s="8" t="s"/>
      <c r="D186" s="8" t="s"/>
      <c r="H186" s="6" t="s"/>
      <c r="I186" s="6" t="s"/>
      <c r="J186" s="6" t="str">
        <f>=IF(ISBLANK(D186),"","("&amp;""""&amp;SUBSTITUTE(D186,"
",""""&amp;","&amp;"""")&amp;""""&amp;")")</f>
        <v/>
      </c>
      <c r="K186" s="6" t="s"/>
    </row>
    <row r="187" spans="2:11">
      <c r="B187" s="8" t="s"/>
      <c r="C187" s="8" t="s"/>
      <c r="D187" s="8" t="s"/>
      <c r="H187" s="6" t="s"/>
      <c r="I187" s="6" t="s"/>
      <c r="J187" s="6" t="str">
        <f>=IF(ISBLANK(D187),"","("&amp;""""&amp;SUBSTITUTE(D187,"
",""""&amp;","&amp;"""")&amp;""""&amp;")")</f>
        <v/>
      </c>
      <c r="K187" s="6" t="s"/>
    </row>
    <row r="188" spans="2:11">
      <c r="B188" s="8" t="s"/>
      <c r="C188" s="8" t="s"/>
      <c r="D188" s="8" t="s"/>
      <c r="H188" s="6" t="s"/>
      <c r="I188" s="6" t="s"/>
      <c r="K188" s="6" t="s"/>
    </row>
    <row r="189" spans="2:11">
      <c r="B189" s="8" t="s"/>
      <c r="C189" s="8" t="s"/>
      <c r="D189" s="8" t="s"/>
      <c r="H189" s="6" t="s"/>
      <c r="I189" s="6" t="s"/>
      <c r="K189" s="6" t="s"/>
    </row>
    <row r="190" spans="2:11">
      <c r="B190" s="8" t="s"/>
      <c r="C190" s="8" t="s"/>
      <c r="D190" s="8" t="s"/>
      <c r="H190" s="6" t="s"/>
      <c r="I190" s="6" t="s"/>
      <c r="K190" s="6" t="s"/>
    </row>
    <row r="191" spans="2:11">
      <c r="B191" s="8" t="s"/>
      <c r="C191" s="8" t="s"/>
      <c r="D191" s="8" t="s"/>
      <c r="H191" s="6" t="s"/>
      <c r="I191" s="6" t="s"/>
      <c r="K191" s="6" t="s"/>
    </row>
    <row r="192" spans="2:11">
      <c r="B192" s="8" t="s"/>
      <c r="C192" s="8" t="s"/>
      <c r="D192" s="8" t="s"/>
      <c r="H192" s="6" t="s"/>
      <c r="I192" s="6" t="s"/>
      <c r="K192" s="6" t="s"/>
    </row>
    <row r="193" spans="2:11">
      <c r="B193" s="8" t="s"/>
      <c r="C193" s="8" t="s"/>
      <c r="D193" s="8" t="s"/>
      <c r="H193" s="6" t="s"/>
      <c r="I193" s="6" t="s"/>
      <c r="K193" s="6" t="s"/>
    </row>
    <row r="194" spans="2:11">
      <c r="B194" s="8" t="s"/>
      <c r="C194" s="8" t="s"/>
      <c r="D194" s="8" t="s"/>
      <c r="H194" s="6" t="s"/>
      <c r="I194" s="6" t="s"/>
      <c r="K194" s="6" t="s"/>
    </row>
    <row r="195" spans="2:11">
      <c r="B195" s="8" t="s"/>
      <c r="C195" s="8" t="s"/>
      <c r="D195" s="8" t="s"/>
      <c r="H195" s="6" t="s"/>
      <c r="I195" s="6" t="s"/>
      <c r="K195" s="6" t="s"/>
    </row>
    <row r="196" spans="2:11">
      <c r="B196" s="8" t="s"/>
      <c r="C196" s="8" t="s"/>
      <c r="D196" s="8" t="s"/>
      <c r="H196" s="6" t="s"/>
      <c r="I196" s="6" t="s"/>
      <c r="K196" s="6" t="s"/>
    </row>
    <row r="197" spans="2:11">
      <c r="B197" s="8" t="s"/>
      <c r="C197" s="8" t="s"/>
      <c r="D197" s="8" t="s"/>
      <c r="H197" s="6" t="s"/>
      <c r="I197" s="6" t="s"/>
      <c r="K197" s="6" t="s"/>
    </row>
    <row r="198" spans="2:11">
      <c r="B198" s="8" t="s"/>
      <c r="C198" s="8" t="s"/>
      <c r="D198" s="8" t="s"/>
      <c r="H198" s="6" t="s"/>
      <c r="I198" s="6" t="s"/>
      <c r="K198" s="6" t="s"/>
    </row>
    <row r="199" spans="2:11">
      <c r="B199" s="8" t="s"/>
      <c r="C199" s="8" t="s"/>
      <c r="D199" s="8" t="s"/>
      <c r="H199" s="6" t="s"/>
      <c r="I199" s="6" t="s"/>
      <c r="K199" s="6" t="s"/>
    </row>
    <row r="200" spans="2:11">
      <c r="B200" s="8" t="s"/>
      <c r="C200" s="8" t="s"/>
      <c r="D200" s="8" t="s"/>
      <c r="H200" s="6" t="s"/>
      <c r="I200" s="6" t="s"/>
      <c r="K200" s="6" t="s"/>
    </row>
  </sheetData>
</worksheet>
</file>

<file path=xl/worksheets/sheet5.xml><?xml version="1.0" encoding="utf-8"?>
<worksheet xmlns="http://schemas.openxmlformats.org/spreadsheetml/2006/main">
  <sheetPr codeName="事件">
    <tabColor/>
  </sheetPr>
  <dimension ref="O200"/>
  <sheetViews>
    <sheetView showGridLines="1" workbookViewId="0"/>
  </sheetViews>
  <sheetFormatPr baseColWidth="13" defaultRowHeight="18" customHeight="1"/>
  <cols>
    <col min="1" max="1" width="24.9531" style="73" customWidth="1"/>
    <col min="2" max="2" width="19.8242" style="73" customWidth="1"/>
    <col min="3" max="3" width="13.6719" style="73"/>
    <col min="4" max="5" width="13.6719" style="73"/>
    <col min="6" max="6" width="9.98438" style="73" customWidth="1"/>
    <col min="7" max="7" width="9.71094" style="73" customWidth="1"/>
    <col min="8" max="8" width="36.8242" style="73" customWidth="1"/>
    <col min="9" max="9" width="23.7422" style="73" customWidth="1"/>
    <col min="10" max="10" width="19.1523" style="73" customWidth="1"/>
    <col min="11" max="11" width="25.7617" style="75" customWidth="1"/>
    <col min="12" max="12" width="28.1914" style="75" customWidth="1"/>
    <col min="13" max="14" width="13.6719" style="75"/>
    <col min="15" max="15" width="46.4023" customWidth="1"/>
  </cols>
  <sheetData>
    <row r="1" spans="1:15">
      <c r="A1" s="8" t="s"/>
      <c r="B1" s="8" t="s">
        <v>326</v>
      </c>
      <c r="C1" s="8" t="s">
        <v>327</v>
      </c>
      <c r="D1" s="8" t="s">
        <v>328</v>
      </c>
      <c r="E1" s="8" t="s">
        <v>329</v>
      </c>
      <c r="F1" s="8" t="s">
        <v>330</v>
      </c>
      <c r="G1" s="8" t="s">
        <v>331</v>
      </c>
      <c r="H1" s="8" t="s">
        <v>332</v>
      </c>
      <c r="I1" s="8" t="s">
        <v>333</v>
      </c>
      <c r="J1" s="8" t="s">
        <v>334</v>
      </c>
      <c r="K1" s="6" t="s">
        <v>306</v>
      </c>
      <c r="L1" s="6" t="s">
        <v>335</v>
      </c>
      <c r="M1" s="6" t="s">
        <v>336</v>
      </c>
      <c r="N1" s="6" t="s">
        <v>337</v>
      </c>
      <c r="O1" s="4" t="s">
        <v>338</v>
      </c>
    </row>
    <row r="2" spans="1:13">
      <c r="A2" s="8" t="s"/>
      <c r="B2" s="24" t="s"/>
      <c r="C2" s="24" t="s"/>
      <c r="K2" s="6" t="str">
        <f>=IF(ISBLANK(I2),"","("&amp;""""&amp;SUBSTITUTE(I2,"
",""""&amp;","&amp;"""")&amp;""""&amp;")")</f>
        <v/>
      </c>
      <c r="L2" s="6" t="str">
        <f>=IF(ISBLANK(J2),"","("&amp;""""&amp;SUBSTITUTE(J2,"
",""""&amp;","&amp;"""")&amp;""""&amp;")")</f>
        <v/>
      </c>
      <c r="M2" s="6" t="str">
        <f>="(X="&amp;D2&amp;",Y="&amp;E2&amp;")"</f>
        <v>(X=,Y=)</v>
      </c>
    </row>
    <row r="3" spans="1:15">
      <c r="A3" s="8" t="s">
        <v>340</v>
      </c>
      <c r="B3" s="21" t="s">
        <v>341</v>
      </c>
      <c r="C3" s="24" t="s">
        <v>342</v>
      </c>
      <c r="D3" s="27">
        <v>170</v>
      </c>
      <c r="E3" s="27">
        <v>210</v>
      </c>
      <c r="F3" s="23">
        <v>-0.2</v>
      </c>
      <c r="G3" s="26">
        <v>0.2</v>
      </c>
      <c r="H3" s="23" t="s">
        <v>343</v>
      </c>
      <c r="I3" s="23" t="s">
        <v>344</v>
      </c>
      <c r="J3" s="26" t="s"/>
      <c r="K3" s="6" t="str">
        <f>=IF(ISBLANK(I3),"","("&amp;""""&amp;SUBSTITUTE(I3,"
",""""&amp;","&amp;"""")&amp;""""&amp;")")</f>
        <v>("背包#Item_Coin&gt;3000")</v>
      </c>
      <c r="L3" s="6" t="str">
        <f>=IF(ISBLANK(J3),"","("&amp;""""&amp;SUBSTITUTE(J3,"
",""""&amp;","&amp;"""")&amp;""""&amp;")")</f>
        <v/>
      </c>
      <c r="M3" s="6" t="str">
        <f>="(X="&amp;D3&amp;",Y="&amp;E3&amp;")"</f>
        <v>(X=170,Y=210)</v>
      </c>
      <c r="N3" s="6" t="str">
        <f>="(X="&amp;F3&amp;",Y="&amp;G3&amp;")"</f>
        <v>(X=-0.2,Y=0.2)</v>
      </c>
      <c r="O3" s="4" t="str">
        <f>=IF(ISBLANK(H3),"","("&amp;""""&amp;SUBSTITUTE(H3,"
",""""&amp;","&amp;"""")&amp;""""&amp;")")</f>
        <v>("地图.进入# Map_Room_002","地图.时间# +0.5")</v>
      </c>
    </row>
    <row r="4" spans="1:15">
      <c r="A4" s="8" t="s">
        <v>349</v>
      </c>
      <c r="B4" s="42" t="s">
        <v>341</v>
      </c>
      <c r="C4" s="24" t="s">
        <v>342</v>
      </c>
      <c r="D4" s="27">
        <v>-170</v>
      </c>
      <c r="E4" s="8">
        <v>210</v>
      </c>
      <c r="F4" s="26">
        <v>0.2</v>
      </c>
      <c r="G4" s="26">
        <v>0.2</v>
      </c>
      <c r="H4" s="23" t="s">
        <v>350</v>
      </c>
      <c r="K4" s="6" t="str">
        <f>=IF(ISBLANK(I4),"","("&amp;""""&amp;SUBSTITUTE(I4,"
",""""&amp;","&amp;"""")&amp;""""&amp;")")</f>
        <v/>
      </c>
      <c r="L4" s="6" t="str">
        <f>=IF(ISBLANK(J4),"","("&amp;""""&amp;SUBSTITUTE(J4,"
",""""&amp;","&amp;"""")&amp;""""&amp;")")</f>
        <v/>
      </c>
      <c r="M4" s="6" t="str">
        <f>="(X="&amp;D4&amp;",Y="&amp;E4&amp;")"</f>
        <v>(X=-170,Y=210)</v>
      </c>
      <c r="N4" s="6" t="str">
        <f>="(X="&amp;F4&amp;",Y="&amp;G4&amp;")"</f>
        <v>(X=0.2,Y=0.2)</v>
      </c>
      <c r="O4" s="4" t="str">
        <f>=IF(ISBLANK(H4),"","("&amp;""""&amp;SUBSTITUTE(H4,"
",""""&amp;","&amp;"""")&amp;""""&amp;")")</f>
        <v>("地图.进入# Map_Room_003","地图.时间# +0.5")</v>
      </c>
    </row>
    <row r="5" spans="1:15">
      <c r="A5" s="8" t="s">
        <v>354</v>
      </c>
      <c r="B5" s="24" t="s">
        <v>355</v>
      </c>
      <c r="C5" s="24" t="s">
        <v>342</v>
      </c>
      <c r="D5" s="27">
        <v>153.891803</v>
      </c>
      <c r="E5" s="27">
        <v>186.56305</v>
      </c>
      <c r="F5" s="26">
        <v>-0.2</v>
      </c>
      <c r="G5" s="26">
        <v>0.2</v>
      </c>
      <c r="H5" s="23" t="s">
        <v>356</v>
      </c>
      <c r="K5" s="6" t="str">
        <f>=IF(ISBLANK(I5),"","("&amp;""""&amp;SUBSTITUTE(I5,"
",""""&amp;","&amp;"""")&amp;""""&amp;")")</f>
        <v/>
      </c>
      <c r="L5" s="6" t="str">
        <f>=IF(ISBLANK(J5),"","("&amp;""""&amp;SUBSTITUTE(J5,"
",""""&amp;","&amp;"""")&amp;""""&amp;")")</f>
        <v/>
      </c>
      <c r="M5" s="6" t="str">
        <f>="(X="&amp;D5&amp;",Y="&amp;E5&amp;")"</f>
        <v>(X=153.891803,Y=186.56305)</v>
      </c>
      <c r="N5" s="6" t="str">
        <f>="(X="&amp;F5&amp;",Y="&amp;G5&amp;")"</f>
        <v>(X=-0.2,Y=0.2)</v>
      </c>
      <c r="O5" s="4" t="str">
        <f>=IF(ISBLANK(H5),"","("&amp;""""&amp;SUBSTITUTE(H5,"
",""""&amp;","&amp;"""")&amp;""""&amp;")")</f>
        <v>("地图.进入# Map_Room_001","地图.时间# +0.5")</v>
      </c>
    </row>
    <row r="6" spans="1:15">
      <c r="A6" s="8" t="s">
        <v>359</v>
      </c>
      <c r="B6" s="24" t="s">
        <v>360</v>
      </c>
      <c r="C6" s="24" t="s">
        <v>342</v>
      </c>
      <c r="D6" s="27">
        <v>-162.117432</v>
      </c>
      <c r="E6" s="27">
        <v>218.957585</v>
      </c>
      <c r="F6" s="26">
        <v>0.2</v>
      </c>
      <c r="G6" s="26">
        <v>0.2</v>
      </c>
      <c r="H6" s="23" t="s">
        <v>356</v>
      </c>
      <c r="K6" s="6" t="str">
        <f>=IF(ISBLANK(I6),"","("&amp;""""&amp;SUBSTITUTE(I6,"
",""""&amp;","&amp;"""")&amp;""""&amp;")")</f>
        <v/>
      </c>
      <c r="L6" s="6" t="str">
        <f>=IF(ISBLANK(J6),"","("&amp;""""&amp;SUBSTITUTE(J6,"
",""""&amp;","&amp;"""")&amp;""""&amp;")")</f>
        <v/>
      </c>
      <c r="M6" s="6" t="str">
        <f>="(X="&amp;D6&amp;",Y="&amp;E6&amp;")"</f>
        <v>(X=-162.117432,Y=218.957585)</v>
      </c>
      <c r="N6" s="6" t="str">
        <f>="(X="&amp;F6&amp;",Y="&amp;G6&amp;")"</f>
        <v>(X=0.2,Y=0.2)</v>
      </c>
      <c r="O6" s="4" t="str">
        <f>=IF(ISBLANK(H6),"","("&amp;""""&amp;SUBSTITUTE(H6,"
",""""&amp;","&amp;"""")&amp;""""&amp;")")</f>
        <v>("地图.进入# Map_Room_001","地图.时间# +0.5")</v>
      </c>
    </row>
    <row r="7" spans="1:15">
      <c r="A7" s="8" t="s">
        <v>362</v>
      </c>
      <c r="B7" s="24" t="s">
        <v>341</v>
      </c>
      <c r="C7" s="21" t="s">
        <v>363</v>
      </c>
      <c r="D7" s="8">
        <v>100</v>
      </c>
      <c r="E7" s="8">
        <v>0</v>
      </c>
      <c r="F7" s="8">
        <v>0.5</v>
      </c>
      <c r="G7" s="8">
        <v>0.5</v>
      </c>
      <c r="I7" s="27" t="s">
        <v>364</v>
      </c>
      <c r="J7" s="26" t="s">
        <v>365</v>
      </c>
      <c r="K7" s="6" t="str">
        <f>=IF(ISBLANK(I7),"","("&amp;""""&amp;SUBSTITUTE(I7,"
",""""&amp;","&amp;"""")&amp;""""&amp;")")</f>
        <v>("背包#Item_Coin&gt;0")</v>
      </c>
      <c r="L7" s="6" t="str">
        <f>=IF(ISBLANK(J7),"","("&amp;""""&amp;SUBSTITUTE(J7,"
",""""&amp;","&amp;"""")&amp;""""&amp;")")</f>
        <v>("OPT_Test_001","OPT_Test_002","OPT_Test_003")</v>
      </c>
      <c r="M7" s="6" t="str">
        <f>="(X="&amp;D7&amp;",Y="&amp;E7&amp;")"</f>
        <v>(X=100,Y=0)</v>
      </c>
      <c r="N7" s="6" t="str">
        <f>="(X="&amp;F7&amp;",Y="&amp;G7&amp;")"</f>
        <v>(X=0.5,Y=0.5)</v>
      </c>
      <c r="O7" s="4" t="str">
        <f>=IF(ISBLANK(H7),"","("&amp;""""&amp;SUBSTITUTE(H7,"
",""""&amp;","&amp;"""")&amp;""""&amp;")")</f>
        <v/>
      </c>
    </row>
    <row r="8" spans="1:15">
      <c r="A8" s="8" t="s">
        <v>369</v>
      </c>
      <c r="B8" s="21" t="s">
        <v>360</v>
      </c>
      <c r="C8" s="21" t="s">
        <v>363</v>
      </c>
      <c r="D8" s="8">
        <v>-120</v>
      </c>
      <c r="E8" s="8">
        <v>0</v>
      </c>
      <c r="F8" s="8">
        <v>0.5</v>
      </c>
      <c r="G8" s="8">
        <v>0.5</v>
      </c>
      <c r="H8" s="8" t="s"/>
      <c r="I8" s="8" t="s"/>
      <c r="J8" s="26" t="s">
        <v>370</v>
      </c>
      <c r="K8" s="6" t="str">
        <f>=IF(ISBLANK(I8),"","("&amp;""""&amp;SUBSTITUTE(I8,"
",""""&amp;","&amp;"""")&amp;""""&amp;")")</f>
        <v/>
      </c>
      <c r="L8" s="6" t="str">
        <f>=IF(ISBLANK(J8),"","("&amp;""""&amp;SUBSTITUTE(J8,"
",""""&amp;","&amp;"""")&amp;""""&amp;")")</f>
        <v>("OPT_Test_004")</v>
      </c>
      <c r="M8" s="6" t="str">
        <f>="(X="&amp;D8&amp;",Y="&amp;E8&amp;")"</f>
        <v>(X=-120,Y=0)</v>
      </c>
      <c r="N8" s="6" t="str">
        <f>="(X="&amp;F8&amp;",Y="&amp;G8&amp;")"</f>
        <v>(X=0.5,Y=0.5)</v>
      </c>
      <c r="O8" s="4" t="str">
        <f>=IF(ISBLANK(H8),"","("&amp;""""&amp;SUBSTITUTE(H8,"
",""""&amp;","&amp;"""")&amp;""""&amp;")")</f>
        <v/>
      </c>
    </row>
    <row r="9" spans="1:15">
      <c r="A9" s="8" t="s">
        <v>373</v>
      </c>
      <c r="B9" s="24" t="s">
        <v>341</v>
      </c>
      <c r="C9" s="21" t="s">
        <v>363</v>
      </c>
      <c r="D9" s="8">
        <v>0</v>
      </c>
      <c r="E9" s="8">
        <v>0</v>
      </c>
      <c r="F9" s="8">
        <v>0.5</v>
      </c>
      <c r="G9" s="8">
        <v>0.5</v>
      </c>
      <c r="H9" s="23" t="s">
        <v>374</v>
      </c>
      <c r="K9" s="6" t="str">
        <f>=IF(ISBLANK(I9),"","("&amp;""""&amp;SUBSTITUTE(I9,"
",""""&amp;","&amp;"""")&amp;""""&amp;")")</f>
        <v/>
      </c>
      <c r="L9" s="6" t="str">
        <f>=IF(ISBLANK(J9),"","("&amp;""""&amp;SUBSTITUTE(J9,"
",""""&amp;","&amp;"""")&amp;""""&amp;")")</f>
        <v/>
      </c>
      <c r="M9" s="6" t="str">
        <f>="(X="&amp;D9&amp;",Y="&amp;E9&amp;")"</f>
        <v>(X=0,Y=0)</v>
      </c>
      <c r="N9" s="6" t="str">
        <f>="(X="&amp;F9&amp;",Y="&amp;G9&amp;")"</f>
        <v>(X=0.5,Y=0.5)</v>
      </c>
      <c r="O9" s="4" t="str">
        <f>=IF(ISBLANK(H9),"","("&amp;""""&amp;SUBSTITUTE(H9,"
",""""&amp;","&amp;"""")&amp;""""&amp;")")</f>
        <v>("剧情.播放对话# P_Test_001-1","地图.天数#+1")</v>
      </c>
    </row>
    <row r="10" spans="2:15">
      <c r="B10" s="24" t="s"/>
      <c r="C10" s="24" t="s"/>
      <c r="K10" s="6" t="str">
        <f>=IF(ISBLANK(I10),"","("&amp;""""&amp;SUBSTITUTE(I10,"
",""""&amp;","&amp;"""")&amp;""""&amp;")")</f>
        <v/>
      </c>
      <c r="L10" s="6" t="str">
        <f>=IF(ISBLANK(J10),"","("&amp;""""&amp;SUBSTITUTE(J10,"
",""""&amp;","&amp;"""")&amp;""""&amp;")")</f>
        <v/>
      </c>
      <c r="M10" s="6" t="str">
        <f>="(X="&amp;D10&amp;",Y="&amp;E10&amp;")"</f>
        <v>(X=,Y=)</v>
      </c>
      <c r="N10" s="6" t="str">
        <f>="(X="&amp;F10&amp;",Y="&amp;G10&amp;")"</f>
        <v>(X=,Y=)</v>
      </c>
      <c r="O10" s="4" t="str">
        <f>=IF(ISBLANK(H10),"","("&amp;""""&amp;SUBSTITUTE(H10,"
",""""&amp;","&amp;"""")&amp;""""&amp;")")</f>
        <v/>
      </c>
    </row>
    <row r="11" spans="2:15">
      <c r="B11" s="24" t="s"/>
      <c r="C11" s="24" t="s"/>
      <c r="K11" s="6" t="str">
        <f>=IF(ISBLANK(I11),"","("&amp;""""&amp;SUBSTITUTE(I11,"
",""""&amp;","&amp;"""")&amp;""""&amp;")")</f>
        <v/>
      </c>
      <c r="L11" s="6" t="str">
        <f>=IF(ISBLANK(J11),"","("&amp;""""&amp;SUBSTITUTE(J11,"
",""""&amp;","&amp;"""")&amp;""""&amp;")")</f>
        <v/>
      </c>
      <c r="M11" s="6" t="str">
        <f>="(X="&amp;D11&amp;",Y="&amp;E11&amp;")"</f>
        <v>(X=,Y=)</v>
      </c>
      <c r="N11" s="6" t="str">
        <f>="(X="&amp;F11&amp;",Y="&amp;G11&amp;")"</f>
        <v>(X=,Y=)</v>
      </c>
      <c r="O11" s="4" t="str">
        <f>=IF(ISBLANK(H11),"","("&amp;""""&amp;SUBSTITUTE(H11,"
",""""&amp;","&amp;"""")&amp;""""&amp;")")</f>
        <v/>
      </c>
    </row>
    <row r="12" spans="2:15">
      <c r="B12" s="24" t="s"/>
      <c r="C12" s="24" t="s"/>
      <c r="K12" s="6" t="str">
        <f>=IF(ISBLANK(I12),"","("&amp;""""&amp;SUBSTITUTE(I12,"
",""""&amp;","&amp;"""")&amp;""""&amp;")")</f>
        <v/>
      </c>
      <c r="L12" s="6" t="str">
        <f>=IF(ISBLANK(J12),"","("&amp;""""&amp;SUBSTITUTE(J12,"
",""""&amp;","&amp;"""")&amp;""""&amp;")")</f>
        <v/>
      </c>
      <c r="M12" s="6" t="str">
        <f>="(X="&amp;D12&amp;",Y="&amp;E12&amp;")"</f>
        <v>(X=,Y=)</v>
      </c>
      <c r="N12" s="6" t="str">
        <f>="(X="&amp;F12&amp;",Y="&amp;G12&amp;")"</f>
        <v>(X=,Y=)</v>
      </c>
      <c r="O12" s="4" t="str">
        <f>=IF(ISBLANK(H12),"","("&amp;""""&amp;SUBSTITUTE(H12,"
",""""&amp;","&amp;"""")&amp;""""&amp;")")</f>
        <v/>
      </c>
    </row>
    <row r="13" spans="2:15">
      <c r="B13" s="24" t="s"/>
      <c r="C13" s="24" t="s"/>
      <c r="K13" s="6" t="str">
        <f>=IF(ISBLANK(I13),"","("&amp;""""&amp;SUBSTITUTE(I13,"
",""""&amp;","&amp;"""")&amp;""""&amp;")")</f>
        <v/>
      </c>
      <c r="L13" s="6" t="str">
        <f>=IF(ISBLANK(J13),"","("&amp;""""&amp;SUBSTITUTE(J13,"
",""""&amp;","&amp;"""")&amp;""""&amp;")")</f>
        <v/>
      </c>
      <c r="M13" s="6" t="str">
        <f>="(X="&amp;D13&amp;",Y="&amp;E13&amp;")"</f>
        <v>(X=,Y=)</v>
      </c>
      <c r="N13" s="6" t="str">
        <f>="(X="&amp;F13&amp;",Y="&amp;G13&amp;")"</f>
        <v>(X=,Y=)</v>
      </c>
      <c r="O13" s="4" t="str">
        <f>=IF(ISBLANK(H13),"","("&amp;""""&amp;SUBSTITUTE(H13,"
",""""&amp;","&amp;"""")&amp;""""&amp;")")</f>
        <v/>
      </c>
    </row>
    <row r="14" spans="2:15">
      <c r="B14" s="24" t="s"/>
      <c r="C14" s="24" t="s"/>
      <c r="K14" s="6" t="str">
        <f>=IF(ISBLANK(I14),"","("&amp;""""&amp;SUBSTITUTE(I14,"
",""""&amp;","&amp;"""")&amp;""""&amp;")")</f>
        <v/>
      </c>
      <c r="L14" s="6" t="str">
        <f>=IF(ISBLANK(J14),"","("&amp;""""&amp;SUBSTITUTE(J14,"
",""""&amp;","&amp;"""")&amp;""""&amp;")")</f>
        <v/>
      </c>
      <c r="M14" s="6" t="str">
        <f>="(X="&amp;D14&amp;",Y="&amp;E14&amp;")"</f>
        <v>(X=,Y=)</v>
      </c>
      <c r="N14" s="6" t="str">
        <f>="(X="&amp;F14&amp;",Y="&amp;G14&amp;")"</f>
        <v>(X=,Y=)</v>
      </c>
      <c r="O14" s="4" t="str">
        <f>=IF(ISBLANK(H14),"","("&amp;""""&amp;SUBSTITUTE(H14,"
",""""&amp;","&amp;"""")&amp;""""&amp;")")</f>
        <v/>
      </c>
    </row>
    <row r="15" spans="2:15">
      <c r="B15" s="24" t="s"/>
      <c r="C15" s="24" t="s"/>
      <c r="K15" s="6" t="str">
        <f>=IF(ISBLANK(I15),"","("&amp;""""&amp;SUBSTITUTE(I15,"
",""""&amp;","&amp;"""")&amp;""""&amp;")")</f>
        <v/>
      </c>
      <c r="L15" s="6" t="str">
        <f>=IF(ISBLANK(J15),"","("&amp;""""&amp;SUBSTITUTE(J15,"
",""""&amp;","&amp;"""")&amp;""""&amp;")")</f>
        <v/>
      </c>
      <c r="M15" s="6" t="str">
        <f>="(X="&amp;D15&amp;",Y="&amp;E15&amp;")"</f>
        <v>(X=,Y=)</v>
      </c>
      <c r="N15" s="6" t="str">
        <f>="(X="&amp;F15&amp;",Y="&amp;G15&amp;")"</f>
        <v>(X=,Y=)</v>
      </c>
      <c r="O15" s="4" t="str">
        <f>=IF(ISBLANK(H15),"","("&amp;""""&amp;SUBSTITUTE(H15,"
",""""&amp;","&amp;"""")&amp;""""&amp;")")</f>
        <v/>
      </c>
    </row>
    <row r="16" spans="2:15">
      <c r="B16" s="24" t="s"/>
      <c r="C16" s="24" t="s"/>
      <c r="K16" s="6" t="str">
        <f>=IF(ISBLANK(I16),"","("&amp;""""&amp;SUBSTITUTE(I16,"
",""""&amp;","&amp;"""")&amp;""""&amp;")")</f>
        <v/>
      </c>
      <c r="L16" s="6" t="str">
        <f>=IF(ISBLANK(J16),"","("&amp;""""&amp;SUBSTITUTE(J16,"
",""""&amp;","&amp;"""")&amp;""""&amp;")")</f>
        <v/>
      </c>
      <c r="M16" s="6" t="str">
        <f>="(X="&amp;D16&amp;",Y="&amp;E16&amp;")"</f>
        <v>(X=,Y=)</v>
      </c>
      <c r="N16" s="6" t="str">
        <f>="(X="&amp;F16&amp;",Y="&amp;G16&amp;")"</f>
        <v>(X=,Y=)</v>
      </c>
      <c r="O16" s="4" t="str">
        <f>=IF(ISBLANK(H16),"","("&amp;""""&amp;SUBSTITUTE(H16,"
",""""&amp;","&amp;"""")&amp;""""&amp;")")</f>
        <v/>
      </c>
    </row>
    <row r="17" spans="2:15">
      <c r="B17" s="24" t="s"/>
      <c r="C17" s="24" t="s"/>
      <c r="K17" s="6" t="str">
        <f>=IF(ISBLANK(I17),"","("&amp;""""&amp;SUBSTITUTE(I17,"
",""""&amp;","&amp;"""")&amp;""""&amp;")")</f>
        <v/>
      </c>
      <c r="L17" s="6" t="str">
        <f>=IF(ISBLANK(J17),"","("&amp;""""&amp;SUBSTITUTE(J17,"
",""""&amp;","&amp;"""")&amp;""""&amp;")")</f>
        <v/>
      </c>
      <c r="M17" s="6" t="str">
        <f>="(X="&amp;D17&amp;",Y="&amp;E17&amp;")"</f>
        <v>(X=,Y=)</v>
      </c>
      <c r="N17" s="6" t="str">
        <f>="(X="&amp;F17&amp;",Y="&amp;G17&amp;")"</f>
        <v>(X=,Y=)</v>
      </c>
      <c r="O17" s="4" t="str">
        <f>=IF(ISBLANK(H17),"","("&amp;""""&amp;SUBSTITUTE(H17,"
",""""&amp;","&amp;"""")&amp;""""&amp;")")</f>
        <v/>
      </c>
    </row>
    <row r="18" spans="2:15">
      <c r="B18" s="24" t="s"/>
      <c r="C18" s="24" t="s"/>
      <c r="K18" s="6" t="str">
        <f>=IF(ISBLANK(I18),"","("&amp;""""&amp;SUBSTITUTE(I18,"
",""""&amp;","&amp;"""")&amp;""""&amp;")")</f>
        <v/>
      </c>
      <c r="L18" s="6" t="str">
        <f>=IF(ISBLANK(J18),"","("&amp;""""&amp;SUBSTITUTE(J18,"
",""""&amp;","&amp;"""")&amp;""""&amp;")")</f>
        <v/>
      </c>
      <c r="M18" s="6" t="str">
        <f>="(X="&amp;D18&amp;",Y="&amp;E18&amp;")"</f>
        <v>(X=,Y=)</v>
      </c>
      <c r="N18" s="6" t="str">
        <f>="(X="&amp;F18&amp;",Y="&amp;G18&amp;")"</f>
        <v>(X=,Y=)</v>
      </c>
      <c r="O18" s="4" t="str">
        <f>=IF(ISBLANK(H18),"","("&amp;""""&amp;SUBSTITUTE(H18,"
",""""&amp;","&amp;"""")&amp;""""&amp;")")</f>
        <v/>
      </c>
    </row>
    <row r="19" spans="2:15">
      <c r="B19" s="24" t="s"/>
      <c r="C19" s="24" t="s"/>
      <c r="K19" s="6" t="str">
        <f>=IF(ISBLANK(I19),"","("&amp;""""&amp;SUBSTITUTE(I19,"
",""""&amp;","&amp;"""")&amp;""""&amp;")")</f>
        <v/>
      </c>
      <c r="L19" s="6" t="str">
        <f>=IF(ISBLANK(J19),"","("&amp;""""&amp;SUBSTITUTE(J19,"
",""""&amp;","&amp;"""")&amp;""""&amp;")")</f>
        <v/>
      </c>
      <c r="M19" s="6" t="str">
        <f>="(X="&amp;D19&amp;",Y="&amp;E19&amp;")"</f>
        <v>(X=,Y=)</v>
      </c>
      <c r="N19" s="6" t="str">
        <f>="(X="&amp;F19&amp;",Y="&amp;G19&amp;")"</f>
        <v>(X=,Y=)</v>
      </c>
      <c r="O19" s="4" t="str">
        <f>=IF(ISBLANK(H19),"","("&amp;""""&amp;SUBSTITUTE(H19,"
",""""&amp;","&amp;"""")&amp;""""&amp;")")</f>
        <v/>
      </c>
    </row>
    <row r="20" spans="2:15">
      <c r="B20" s="24" t="s"/>
      <c r="C20" s="24" t="s"/>
      <c r="K20" s="6" t="str">
        <f>=IF(ISBLANK(I20),"","("&amp;""""&amp;SUBSTITUTE(I20,"
",""""&amp;","&amp;"""")&amp;""""&amp;")")</f>
        <v/>
      </c>
      <c r="L20" s="6" t="str">
        <f>=IF(ISBLANK(J20),"","("&amp;""""&amp;SUBSTITUTE(J20,"
",""""&amp;","&amp;"""")&amp;""""&amp;")")</f>
        <v/>
      </c>
      <c r="M20" s="6" t="str">
        <f>="(X="&amp;D20&amp;",Y="&amp;E20&amp;")"</f>
        <v>(X=,Y=)</v>
      </c>
      <c r="N20" s="6" t="str">
        <f>="(X="&amp;F20&amp;",Y="&amp;G20&amp;")"</f>
        <v>(X=,Y=)</v>
      </c>
      <c r="O20" s="4" t="str">
        <f>=IF(ISBLANK(H20),"","("&amp;""""&amp;SUBSTITUTE(H20,"
",""""&amp;","&amp;"""")&amp;""""&amp;")")</f>
        <v/>
      </c>
    </row>
    <row r="21" spans="2:15">
      <c r="B21" s="24" t="s"/>
      <c r="C21" s="24" t="s"/>
      <c r="K21" s="6" t="str">
        <f>=IF(ISBLANK(I21),"","("&amp;""""&amp;SUBSTITUTE(I21,"
",""""&amp;","&amp;"""")&amp;""""&amp;")")</f>
        <v/>
      </c>
      <c r="L21" s="6" t="str">
        <f>=IF(ISBLANK(J21),"","("&amp;""""&amp;SUBSTITUTE(J21,"
",""""&amp;","&amp;"""")&amp;""""&amp;")")</f>
        <v/>
      </c>
      <c r="M21" s="6" t="str">
        <f>="(X="&amp;D21&amp;",Y="&amp;E21&amp;")"</f>
        <v>(X=,Y=)</v>
      </c>
      <c r="N21" s="6" t="str">
        <f>="(X="&amp;F21&amp;",Y="&amp;G21&amp;")"</f>
        <v>(X=,Y=)</v>
      </c>
      <c r="O21" s="4" t="str">
        <f>=IF(ISBLANK(H21),"","("&amp;""""&amp;SUBSTITUTE(H21,"
",""""&amp;","&amp;"""")&amp;""""&amp;")")</f>
        <v/>
      </c>
    </row>
    <row r="22" spans="2:15">
      <c r="B22" s="24" t="s"/>
      <c r="C22" s="24" t="s"/>
      <c r="K22" s="6" t="str">
        <f>=IF(ISBLANK(I22),"","("&amp;""""&amp;SUBSTITUTE(I22,"
",""""&amp;","&amp;"""")&amp;""""&amp;")")</f>
        <v/>
      </c>
      <c r="L22" s="6" t="str">
        <f>=IF(ISBLANK(J22),"","("&amp;""""&amp;SUBSTITUTE(J22,"
",""""&amp;","&amp;"""")&amp;""""&amp;")")</f>
        <v/>
      </c>
      <c r="M22" s="6" t="str">
        <f>="(X="&amp;D22&amp;",Y="&amp;E22&amp;")"</f>
        <v>(X=,Y=)</v>
      </c>
      <c r="N22" s="6" t="str">
        <f>="(X="&amp;F22&amp;",Y="&amp;G22&amp;")"</f>
        <v>(X=,Y=)</v>
      </c>
      <c r="O22" s="4" t="str">
        <f>=IF(ISBLANK(H22),"","("&amp;""""&amp;SUBSTITUTE(H22,"
",""""&amp;","&amp;"""")&amp;""""&amp;")")</f>
        <v/>
      </c>
    </row>
    <row r="23" spans="2:15">
      <c r="B23" s="24" t="s"/>
      <c r="C23" s="24" t="s"/>
      <c r="K23" s="6" t="str">
        <f>=IF(ISBLANK(I23),"","("&amp;""""&amp;SUBSTITUTE(I23,"
",""""&amp;","&amp;"""")&amp;""""&amp;")")</f>
        <v/>
      </c>
      <c r="L23" s="6" t="str">
        <f>=IF(ISBLANK(J23),"","("&amp;""""&amp;SUBSTITUTE(J23,"
",""""&amp;","&amp;"""")&amp;""""&amp;")")</f>
        <v/>
      </c>
      <c r="M23" s="6" t="str">
        <f>="(X="&amp;D23&amp;",Y="&amp;E23&amp;")"</f>
        <v>(X=,Y=)</v>
      </c>
      <c r="N23" s="6" t="str">
        <f>="(X="&amp;F23&amp;",Y="&amp;G23&amp;")"</f>
        <v>(X=,Y=)</v>
      </c>
      <c r="O23" s="4" t="str">
        <f>=IF(ISBLANK(H23),"","("&amp;""""&amp;SUBSTITUTE(H23,"
",""""&amp;","&amp;"""")&amp;""""&amp;")")</f>
        <v/>
      </c>
    </row>
    <row r="24" spans="2:15">
      <c r="B24" s="24" t="s"/>
      <c r="C24" s="24" t="s"/>
      <c r="K24" s="6" t="str">
        <f>=IF(ISBLANK(I24),"","("&amp;""""&amp;SUBSTITUTE(I24,"
",""""&amp;","&amp;"""")&amp;""""&amp;")")</f>
        <v/>
      </c>
      <c r="L24" s="6" t="str">
        <f>=IF(ISBLANK(J24),"","("&amp;""""&amp;SUBSTITUTE(J24,"
",""""&amp;","&amp;"""")&amp;""""&amp;")")</f>
        <v/>
      </c>
      <c r="M24" s="6" t="str">
        <f>="(X="&amp;D24&amp;",Y="&amp;E24&amp;")"</f>
        <v>(X=,Y=)</v>
      </c>
      <c r="N24" s="6" t="str">
        <f>="(X="&amp;F24&amp;",Y="&amp;G24&amp;")"</f>
        <v>(X=,Y=)</v>
      </c>
      <c r="O24" s="4" t="str">
        <f>=IF(ISBLANK(H24),"","("&amp;""""&amp;SUBSTITUTE(H24,"
",""""&amp;","&amp;"""")&amp;""""&amp;")")</f>
        <v/>
      </c>
    </row>
    <row r="25" spans="2:15">
      <c r="B25" s="24" t="s"/>
      <c r="C25" s="24" t="s"/>
      <c r="K25" s="6" t="str">
        <f>=IF(ISBLANK(I25),"","("&amp;""""&amp;SUBSTITUTE(I25,"
",""""&amp;","&amp;"""")&amp;""""&amp;")")</f>
        <v/>
      </c>
      <c r="L25" s="6" t="str">
        <f>=IF(ISBLANK(J25),"","("&amp;""""&amp;SUBSTITUTE(J25,"
",""""&amp;","&amp;"""")&amp;""""&amp;")")</f>
        <v/>
      </c>
      <c r="M25" s="6" t="str">
        <f>="(X="&amp;D25&amp;",Y="&amp;E25&amp;")"</f>
        <v>(X=,Y=)</v>
      </c>
      <c r="N25" s="6" t="str">
        <f>="(X="&amp;F25&amp;",Y="&amp;G25&amp;")"</f>
        <v>(X=,Y=)</v>
      </c>
      <c r="O25" s="4" t="str">
        <f>=IF(ISBLANK(H25),"","("&amp;""""&amp;SUBSTITUTE(H25,"
",""""&amp;","&amp;"""")&amp;""""&amp;")")</f>
        <v/>
      </c>
    </row>
    <row r="26" spans="2:15">
      <c r="B26" s="24" t="s"/>
      <c r="C26" s="24" t="s"/>
      <c r="K26" s="6" t="str">
        <f>=IF(ISBLANK(I26),"","("&amp;""""&amp;SUBSTITUTE(I26,"
",""""&amp;","&amp;"""")&amp;""""&amp;")")</f>
        <v/>
      </c>
      <c r="L26" s="6" t="str">
        <f>=IF(ISBLANK(J26),"","("&amp;""""&amp;SUBSTITUTE(J26,"
",""""&amp;","&amp;"""")&amp;""""&amp;")")</f>
        <v/>
      </c>
      <c r="M26" s="6" t="str">
        <f>="(X="&amp;D26&amp;",Y="&amp;E26&amp;")"</f>
        <v>(X=,Y=)</v>
      </c>
      <c r="N26" s="6" t="str">
        <f>="(X="&amp;F26&amp;",Y="&amp;G26&amp;")"</f>
        <v>(X=,Y=)</v>
      </c>
      <c r="O26" s="4" t="str">
        <f>=IF(ISBLANK(H26),"","("&amp;""""&amp;SUBSTITUTE(H26,"
",""""&amp;","&amp;"""")&amp;""""&amp;")")</f>
        <v/>
      </c>
    </row>
    <row r="27" spans="2:15">
      <c r="B27" s="24" t="s"/>
      <c r="C27" s="24" t="s"/>
      <c r="K27" s="6" t="str">
        <f>=IF(ISBLANK(I27),"","("&amp;""""&amp;SUBSTITUTE(I27,"
",""""&amp;","&amp;"""")&amp;""""&amp;")")</f>
        <v/>
      </c>
      <c r="L27" s="6" t="str">
        <f>=IF(ISBLANK(J27),"","("&amp;""""&amp;SUBSTITUTE(J27,"
",""""&amp;","&amp;"""")&amp;""""&amp;")")</f>
        <v/>
      </c>
      <c r="M27" s="6" t="str">
        <f>="(X="&amp;D27&amp;",Y="&amp;E27&amp;")"</f>
        <v>(X=,Y=)</v>
      </c>
      <c r="N27" s="6" t="str">
        <f>="(X="&amp;F27&amp;",Y="&amp;G27&amp;")"</f>
        <v>(X=,Y=)</v>
      </c>
      <c r="O27" s="4" t="str">
        <f>=IF(ISBLANK(H27),"","("&amp;""""&amp;SUBSTITUTE(H27,"
",""""&amp;","&amp;"""")&amp;""""&amp;")")</f>
        <v/>
      </c>
    </row>
    <row r="28" spans="2:15">
      <c r="B28" s="24" t="s"/>
      <c r="C28" s="24" t="s"/>
      <c r="K28" s="6" t="str">
        <f>=IF(ISBLANK(I28),"","("&amp;""""&amp;SUBSTITUTE(I28,"
",""""&amp;","&amp;"""")&amp;""""&amp;")")</f>
        <v/>
      </c>
      <c r="L28" s="6" t="str">
        <f>=IF(ISBLANK(J28),"","("&amp;""""&amp;SUBSTITUTE(J28,"
",""""&amp;","&amp;"""")&amp;""""&amp;")")</f>
        <v/>
      </c>
      <c r="M28" s="6" t="str">
        <f>="(X="&amp;D28&amp;",Y="&amp;E28&amp;")"</f>
        <v>(X=,Y=)</v>
      </c>
      <c r="N28" s="6" t="str">
        <f>="(X="&amp;F28&amp;",Y="&amp;G28&amp;")"</f>
        <v>(X=,Y=)</v>
      </c>
      <c r="O28" s="4" t="str">
        <f>=IF(ISBLANK(H28),"","("&amp;""""&amp;SUBSTITUTE(H28,"
",""""&amp;","&amp;"""")&amp;""""&amp;")")</f>
        <v/>
      </c>
    </row>
    <row r="29" spans="2:15">
      <c r="B29" s="24" t="s"/>
      <c r="C29" s="24" t="s"/>
      <c r="K29" s="6" t="str">
        <f>=IF(ISBLANK(I29),"","("&amp;""""&amp;SUBSTITUTE(I29,"
",""""&amp;","&amp;"""")&amp;""""&amp;")")</f>
        <v/>
      </c>
      <c r="L29" s="6" t="str">
        <f>=IF(ISBLANK(J29),"","("&amp;""""&amp;SUBSTITUTE(J29,"
",""""&amp;","&amp;"""")&amp;""""&amp;")")</f>
        <v/>
      </c>
      <c r="M29" s="6" t="str">
        <f>="(X="&amp;D29&amp;",Y="&amp;E29&amp;")"</f>
        <v>(X=,Y=)</v>
      </c>
      <c r="N29" s="6" t="str">
        <f>="(X="&amp;F29&amp;",Y="&amp;G29&amp;")"</f>
        <v>(X=,Y=)</v>
      </c>
      <c r="O29" s="4" t="str">
        <f>=IF(ISBLANK(H29),"","("&amp;""""&amp;SUBSTITUTE(H29,"
",""""&amp;","&amp;"""")&amp;""""&amp;")")</f>
        <v/>
      </c>
    </row>
    <row r="30" spans="2:15">
      <c r="B30" s="24" t="s"/>
      <c r="C30" s="24" t="s"/>
      <c r="K30" s="6" t="str">
        <f>=IF(ISBLANK(I30),"","("&amp;""""&amp;SUBSTITUTE(I30,"
",""""&amp;","&amp;"""")&amp;""""&amp;")")</f>
        <v/>
      </c>
      <c r="L30" s="6" t="str">
        <f>=IF(ISBLANK(J30),"","("&amp;""""&amp;SUBSTITUTE(J30,"
",""""&amp;","&amp;"""")&amp;""""&amp;")")</f>
        <v/>
      </c>
      <c r="M30" s="6" t="str">
        <f>="(X="&amp;D30&amp;",Y="&amp;E30&amp;")"</f>
        <v>(X=,Y=)</v>
      </c>
      <c r="N30" s="6" t="str">
        <f>="(X="&amp;F30&amp;",Y="&amp;G30&amp;")"</f>
        <v>(X=,Y=)</v>
      </c>
      <c r="O30" s="4" t="str">
        <f>=IF(ISBLANK(H30),"","("&amp;""""&amp;SUBSTITUTE(H30,"
",""""&amp;","&amp;"""")&amp;""""&amp;")")</f>
        <v/>
      </c>
    </row>
    <row r="31" spans="2:15">
      <c r="B31" s="24" t="s"/>
      <c r="C31" s="24" t="s"/>
      <c r="K31" s="6" t="str">
        <f>=IF(ISBLANK(I31),"","("&amp;""""&amp;SUBSTITUTE(I31,"
",""""&amp;","&amp;"""")&amp;""""&amp;")")</f>
        <v/>
      </c>
      <c r="L31" s="6" t="str">
        <f>=IF(ISBLANK(J31),"","("&amp;""""&amp;SUBSTITUTE(J31,"
",""""&amp;","&amp;"""")&amp;""""&amp;")")</f>
        <v/>
      </c>
      <c r="M31" s="6" t="str">
        <f>="(X="&amp;D31&amp;",Y="&amp;E31&amp;")"</f>
        <v>(X=,Y=)</v>
      </c>
      <c r="N31" s="6" t="str">
        <f>="(X="&amp;F31&amp;",Y="&amp;G31&amp;")"</f>
        <v>(X=,Y=)</v>
      </c>
      <c r="O31" s="4" t="str">
        <f>=IF(ISBLANK(H31),"","("&amp;""""&amp;SUBSTITUTE(H31,"
",""""&amp;","&amp;"""")&amp;""""&amp;")")</f>
        <v/>
      </c>
    </row>
    <row r="32" spans="2:15">
      <c r="B32" s="24" t="s"/>
      <c r="C32" s="24" t="s"/>
      <c r="K32" s="6" t="str">
        <f>=IF(ISBLANK(I32),"","("&amp;""""&amp;SUBSTITUTE(I32,"
",""""&amp;","&amp;"""")&amp;""""&amp;")")</f>
        <v/>
      </c>
      <c r="L32" s="6" t="str">
        <f>=IF(ISBLANK(J32),"","("&amp;""""&amp;SUBSTITUTE(J32,"
",""""&amp;","&amp;"""")&amp;""""&amp;")")</f>
        <v/>
      </c>
      <c r="M32" s="6" t="str">
        <f>="(X="&amp;D32&amp;",Y="&amp;E32&amp;")"</f>
        <v>(X=,Y=)</v>
      </c>
      <c r="N32" s="6" t="str">
        <f>="(X="&amp;F32&amp;",Y="&amp;G32&amp;")"</f>
        <v>(X=,Y=)</v>
      </c>
      <c r="O32" s="4" t="str">
        <f>=IF(ISBLANK(H32),"","("&amp;""""&amp;SUBSTITUTE(H32,"
",""""&amp;","&amp;"""")&amp;""""&amp;")")</f>
        <v/>
      </c>
    </row>
    <row r="33" spans="2:15">
      <c r="B33" s="24" t="s"/>
      <c r="C33" s="24" t="s"/>
      <c r="K33" s="6" t="str">
        <f>=IF(ISBLANK(I33),"","("&amp;""""&amp;SUBSTITUTE(I33,"
",""""&amp;","&amp;"""")&amp;""""&amp;")")</f>
        <v/>
      </c>
      <c r="L33" s="6" t="str">
        <f>=IF(ISBLANK(J33),"","("&amp;""""&amp;SUBSTITUTE(J33,"
",""""&amp;","&amp;"""")&amp;""""&amp;")")</f>
        <v/>
      </c>
      <c r="M33" s="6" t="str">
        <f>="(X="&amp;D33&amp;",Y="&amp;E33&amp;")"</f>
        <v>(X=,Y=)</v>
      </c>
      <c r="N33" s="6" t="str">
        <f>="(X="&amp;F33&amp;",Y="&amp;G33&amp;")"</f>
        <v>(X=,Y=)</v>
      </c>
      <c r="O33" s="4" t="str">
        <f>=IF(ISBLANK(H33),"","("&amp;""""&amp;SUBSTITUTE(H33,"
",""""&amp;","&amp;"""")&amp;""""&amp;")")</f>
        <v/>
      </c>
    </row>
    <row r="34" spans="2:15">
      <c r="B34" s="24" t="s"/>
      <c r="C34" s="24" t="s"/>
      <c r="K34" s="6" t="str">
        <f>=IF(ISBLANK(I34),"","("&amp;""""&amp;SUBSTITUTE(I34,"
",""""&amp;","&amp;"""")&amp;""""&amp;")")</f>
        <v/>
      </c>
      <c r="L34" s="6" t="str">
        <f>=IF(ISBLANK(J34),"","("&amp;""""&amp;SUBSTITUTE(J34,"
",""""&amp;","&amp;"""")&amp;""""&amp;")")</f>
        <v/>
      </c>
      <c r="M34" s="6" t="str">
        <f>="(X="&amp;D34&amp;",Y="&amp;E34&amp;")"</f>
        <v>(X=,Y=)</v>
      </c>
      <c r="N34" s="6" t="str">
        <f>="(X="&amp;F34&amp;",Y="&amp;G34&amp;")"</f>
        <v>(X=,Y=)</v>
      </c>
      <c r="O34" s="4" t="str">
        <f>=IF(ISBLANK(H34),"","("&amp;""""&amp;SUBSTITUTE(H34,"
",""""&amp;","&amp;"""")&amp;""""&amp;")")</f>
        <v/>
      </c>
    </row>
    <row r="35" spans="2:15">
      <c r="B35" s="24" t="s"/>
      <c r="C35" s="24" t="s"/>
      <c r="K35" s="6" t="str">
        <f>=IF(ISBLANK(I35),"","("&amp;""""&amp;SUBSTITUTE(I35,"
",""""&amp;","&amp;"""")&amp;""""&amp;")")</f>
        <v/>
      </c>
      <c r="L35" s="6" t="str">
        <f>=IF(ISBLANK(J35),"","("&amp;""""&amp;SUBSTITUTE(J35,"
",""""&amp;","&amp;"""")&amp;""""&amp;")")</f>
        <v/>
      </c>
      <c r="M35" s="6" t="str">
        <f>="(X="&amp;D35&amp;",Y="&amp;E35&amp;")"</f>
        <v>(X=,Y=)</v>
      </c>
      <c r="N35" s="6" t="str">
        <f>="(X="&amp;F35&amp;",Y="&amp;G35&amp;")"</f>
        <v>(X=,Y=)</v>
      </c>
      <c r="O35" s="4" t="str">
        <f>=IF(ISBLANK(H35),"","("&amp;""""&amp;SUBSTITUTE(H35,"
",""""&amp;","&amp;"""")&amp;""""&amp;")")</f>
        <v/>
      </c>
    </row>
    <row r="36" spans="2:15">
      <c r="B36" s="24" t="s"/>
      <c r="C36" s="24" t="s"/>
      <c r="K36" s="6" t="str">
        <f>=IF(ISBLANK(I36),"","("&amp;""""&amp;SUBSTITUTE(I36,"
",""""&amp;","&amp;"""")&amp;""""&amp;")")</f>
        <v/>
      </c>
      <c r="L36" s="6" t="str">
        <f>=IF(ISBLANK(J36),"","("&amp;""""&amp;SUBSTITUTE(J36,"
",""""&amp;","&amp;"""")&amp;""""&amp;")")</f>
        <v/>
      </c>
      <c r="M36" s="6" t="str">
        <f>="(X="&amp;D36&amp;",Y="&amp;E36&amp;")"</f>
        <v>(X=,Y=)</v>
      </c>
      <c r="N36" s="6" t="str">
        <f>="(X="&amp;F36&amp;",Y="&amp;G36&amp;")"</f>
        <v>(X=,Y=)</v>
      </c>
      <c r="O36" s="4" t="str">
        <f>=IF(ISBLANK(H36),"","("&amp;""""&amp;SUBSTITUTE(H36,"
",""""&amp;","&amp;"""")&amp;""""&amp;")")</f>
        <v/>
      </c>
    </row>
    <row r="37" spans="2:15">
      <c r="B37" s="24" t="s"/>
      <c r="C37" s="24" t="s"/>
      <c r="K37" s="6" t="str">
        <f>=IF(ISBLANK(I37),"","("&amp;""""&amp;SUBSTITUTE(I37,"
",""""&amp;","&amp;"""")&amp;""""&amp;")")</f>
        <v/>
      </c>
      <c r="L37" s="6" t="str">
        <f>=IF(ISBLANK(J37),"","("&amp;""""&amp;SUBSTITUTE(J37,"
",""""&amp;","&amp;"""")&amp;""""&amp;")")</f>
        <v/>
      </c>
      <c r="M37" s="6" t="str">
        <f>="(X="&amp;D37&amp;",Y="&amp;E37&amp;")"</f>
        <v>(X=,Y=)</v>
      </c>
      <c r="N37" s="6" t="str">
        <f>="(X="&amp;F37&amp;",Y="&amp;G37&amp;")"</f>
        <v>(X=,Y=)</v>
      </c>
      <c r="O37" s="4" t="str">
        <f>=IF(ISBLANK(H37),"","("&amp;""""&amp;SUBSTITUTE(H37,"
",""""&amp;","&amp;"""")&amp;""""&amp;")")</f>
        <v/>
      </c>
    </row>
    <row r="38" spans="2:15">
      <c r="B38" s="24" t="s"/>
      <c r="C38" s="24" t="s"/>
      <c r="K38" s="6" t="str">
        <f>=IF(ISBLANK(I38),"","("&amp;""""&amp;SUBSTITUTE(I38,"
",""""&amp;","&amp;"""")&amp;""""&amp;")")</f>
        <v/>
      </c>
      <c r="L38" s="6" t="str">
        <f>=IF(ISBLANK(J38),"","("&amp;""""&amp;SUBSTITUTE(J38,"
",""""&amp;","&amp;"""")&amp;""""&amp;")")</f>
        <v/>
      </c>
      <c r="M38" s="6" t="str">
        <f>="(X="&amp;D38&amp;",Y="&amp;E38&amp;")"</f>
        <v>(X=,Y=)</v>
      </c>
      <c r="N38" s="6" t="str">
        <f>="(X="&amp;F38&amp;",Y="&amp;G38&amp;")"</f>
        <v>(X=,Y=)</v>
      </c>
      <c r="O38" s="4" t="str">
        <f>=IF(ISBLANK(H38),"","("&amp;""""&amp;SUBSTITUTE(H38,"
",""""&amp;","&amp;"""")&amp;""""&amp;")")</f>
        <v/>
      </c>
    </row>
    <row r="39" spans="2:15">
      <c r="B39" s="24" t="s"/>
      <c r="C39" s="24" t="s"/>
      <c r="K39" s="6" t="str">
        <f>=IF(ISBLANK(I39),"","("&amp;""""&amp;SUBSTITUTE(I39,"
",""""&amp;","&amp;"""")&amp;""""&amp;")")</f>
        <v/>
      </c>
      <c r="L39" s="6" t="str">
        <f>=IF(ISBLANK(J39),"","("&amp;""""&amp;SUBSTITUTE(J39,"
",""""&amp;","&amp;"""")&amp;""""&amp;")")</f>
        <v/>
      </c>
      <c r="M39" s="6" t="str">
        <f>="(X="&amp;D39&amp;",Y="&amp;E39&amp;")"</f>
        <v>(X=,Y=)</v>
      </c>
      <c r="N39" s="6" t="str">
        <f>="(X="&amp;F39&amp;",Y="&amp;G39&amp;")"</f>
        <v>(X=,Y=)</v>
      </c>
      <c r="O39" s="4" t="str">
        <f>=IF(ISBLANK(H39),"","("&amp;""""&amp;SUBSTITUTE(H39,"
",""""&amp;","&amp;"""")&amp;""""&amp;")")</f>
        <v/>
      </c>
    </row>
    <row r="40" spans="2:15">
      <c r="B40" s="24" t="s"/>
      <c r="C40" s="24" t="s"/>
      <c r="K40" s="6" t="str">
        <f>=IF(ISBLANK(I40),"","("&amp;""""&amp;SUBSTITUTE(I40,"
",""""&amp;","&amp;"""")&amp;""""&amp;")")</f>
        <v/>
      </c>
      <c r="L40" s="6" t="str">
        <f>=IF(ISBLANK(J40),"","("&amp;""""&amp;SUBSTITUTE(J40,"
",""""&amp;","&amp;"""")&amp;""""&amp;")")</f>
        <v/>
      </c>
      <c r="M40" s="6" t="str">
        <f>="(X="&amp;D40&amp;",Y="&amp;E40&amp;")"</f>
        <v>(X=,Y=)</v>
      </c>
      <c r="N40" s="6" t="str">
        <f>="(X="&amp;F40&amp;",Y="&amp;G40&amp;")"</f>
        <v>(X=,Y=)</v>
      </c>
      <c r="O40" s="4" t="str">
        <f>=IF(ISBLANK(H40),"","("&amp;""""&amp;SUBSTITUTE(H40,"
",""""&amp;","&amp;"""")&amp;""""&amp;")")</f>
        <v/>
      </c>
    </row>
    <row r="41" spans="2:15">
      <c r="B41" s="24" t="s"/>
      <c r="C41" s="24" t="s"/>
      <c r="K41" s="6" t="str">
        <f>=IF(ISBLANK(I41),"","("&amp;""""&amp;SUBSTITUTE(I41,"
",""""&amp;","&amp;"""")&amp;""""&amp;")")</f>
        <v/>
      </c>
      <c r="L41" s="6" t="str">
        <f>=IF(ISBLANK(J41),"","("&amp;""""&amp;SUBSTITUTE(J41,"
",""""&amp;","&amp;"""")&amp;""""&amp;")")</f>
        <v/>
      </c>
      <c r="M41" s="6" t="str">
        <f>="(X="&amp;D41&amp;",Y="&amp;E41&amp;")"</f>
        <v>(X=,Y=)</v>
      </c>
      <c r="N41" s="6" t="str">
        <f>="(X="&amp;F41&amp;",Y="&amp;G41&amp;")"</f>
        <v>(X=,Y=)</v>
      </c>
      <c r="O41" s="4" t="str">
        <f>=IF(ISBLANK(H41),"","("&amp;""""&amp;SUBSTITUTE(H41,"
",""""&amp;","&amp;"""")&amp;""""&amp;")")</f>
        <v/>
      </c>
    </row>
    <row r="42" spans="2:15">
      <c r="B42" s="24" t="s"/>
      <c r="C42" s="24" t="s"/>
      <c r="K42" s="6" t="str">
        <f>=IF(ISBLANK(I42),"","("&amp;""""&amp;SUBSTITUTE(I42,"
",""""&amp;","&amp;"""")&amp;""""&amp;")")</f>
        <v/>
      </c>
      <c r="L42" s="6" t="str">
        <f>=IF(ISBLANK(J42),"","("&amp;""""&amp;SUBSTITUTE(J42,"
",""""&amp;","&amp;"""")&amp;""""&amp;")")</f>
        <v/>
      </c>
      <c r="M42" s="6" t="str">
        <f>="(X="&amp;D42&amp;",Y="&amp;E42&amp;")"</f>
        <v>(X=,Y=)</v>
      </c>
      <c r="N42" s="6" t="str">
        <f>="(X="&amp;F42&amp;",Y="&amp;G42&amp;")"</f>
        <v>(X=,Y=)</v>
      </c>
      <c r="O42" s="4" t="str">
        <f>=IF(ISBLANK(H42),"","("&amp;""""&amp;SUBSTITUTE(H42,"
",""""&amp;","&amp;"""")&amp;""""&amp;")")</f>
        <v/>
      </c>
    </row>
    <row r="43" spans="2:15">
      <c r="B43" s="24" t="s"/>
      <c r="C43" s="24" t="s"/>
      <c r="K43" s="6" t="str">
        <f>=IF(ISBLANK(I43),"","("&amp;""""&amp;SUBSTITUTE(I43,"
",""""&amp;","&amp;"""")&amp;""""&amp;")")</f>
        <v/>
      </c>
      <c r="L43" s="6" t="str">
        <f>=IF(ISBLANK(J43),"","("&amp;""""&amp;SUBSTITUTE(J43,"
",""""&amp;","&amp;"""")&amp;""""&amp;")")</f>
        <v/>
      </c>
      <c r="M43" s="6" t="str">
        <f>="(X="&amp;D43&amp;",Y="&amp;E43&amp;")"</f>
        <v>(X=,Y=)</v>
      </c>
      <c r="N43" s="6" t="str">
        <f>="(X="&amp;F43&amp;",Y="&amp;G43&amp;")"</f>
        <v>(X=,Y=)</v>
      </c>
      <c r="O43" s="4" t="str">
        <f>=IF(ISBLANK(H43),"","("&amp;""""&amp;SUBSTITUTE(H43,"
",""""&amp;","&amp;"""")&amp;""""&amp;")")</f>
        <v/>
      </c>
    </row>
    <row r="44" spans="2:15">
      <c r="B44" s="24" t="s"/>
      <c r="C44" s="24" t="s"/>
      <c r="K44" s="6" t="str">
        <f>=IF(ISBLANK(I44),"","("&amp;""""&amp;SUBSTITUTE(I44,"
",""""&amp;","&amp;"""")&amp;""""&amp;")")</f>
        <v/>
      </c>
      <c r="L44" s="6" t="str">
        <f>=IF(ISBLANK(J44),"","("&amp;""""&amp;SUBSTITUTE(J44,"
",""""&amp;","&amp;"""")&amp;""""&amp;")")</f>
        <v/>
      </c>
      <c r="M44" s="6" t="str">
        <f>="(X="&amp;D44&amp;",Y="&amp;E44&amp;")"</f>
        <v>(X=,Y=)</v>
      </c>
      <c r="N44" s="6" t="str">
        <f>="(X="&amp;F44&amp;",Y="&amp;G44&amp;")"</f>
        <v>(X=,Y=)</v>
      </c>
      <c r="O44" s="4" t="str">
        <f>=IF(ISBLANK(H44),"","("&amp;""""&amp;SUBSTITUTE(H44,"
",""""&amp;","&amp;"""")&amp;""""&amp;")")</f>
        <v/>
      </c>
    </row>
    <row r="45" spans="2:15">
      <c r="B45" s="24" t="s"/>
      <c r="C45" s="24" t="s"/>
      <c r="K45" s="6" t="str">
        <f>=IF(ISBLANK(I45),"","("&amp;""""&amp;SUBSTITUTE(I45,"
",""""&amp;","&amp;"""")&amp;""""&amp;")")</f>
        <v/>
      </c>
      <c r="L45" s="6" t="str">
        <f>=IF(ISBLANK(J45),"","("&amp;""""&amp;SUBSTITUTE(J45,"
",""""&amp;","&amp;"""")&amp;""""&amp;")")</f>
        <v/>
      </c>
      <c r="M45" s="6" t="str">
        <f>="(X="&amp;D45&amp;",Y="&amp;E45&amp;")"</f>
        <v>(X=,Y=)</v>
      </c>
      <c r="N45" s="6" t="str">
        <f>="(X="&amp;F45&amp;",Y="&amp;G45&amp;")"</f>
        <v>(X=,Y=)</v>
      </c>
      <c r="O45" s="4" t="str">
        <f>=IF(ISBLANK(H45),"","("&amp;""""&amp;SUBSTITUTE(H45,"
",""""&amp;","&amp;"""")&amp;""""&amp;")")</f>
        <v/>
      </c>
    </row>
    <row r="46" spans="2:15">
      <c r="B46" s="24" t="s"/>
      <c r="C46" s="24" t="s"/>
      <c r="K46" s="6" t="str">
        <f>=IF(ISBLANK(I46),"","("&amp;""""&amp;SUBSTITUTE(I46,"
",""""&amp;","&amp;"""")&amp;""""&amp;")")</f>
        <v/>
      </c>
      <c r="L46" s="6" t="str">
        <f>=IF(ISBLANK(J46),"","("&amp;""""&amp;SUBSTITUTE(J46,"
",""""&amp;","&amp;"""")&amp;""""&amp;")")</f>
        <v/>
      </c>
      <c r="M46" s="6" t="str">
        <f>="(X="&amp;D46&amp;",Y="&amp;E46&amp;")"</f>
        <v>(X=,Y=)</v>
      </c>
      <c r="N46" s="6" t="str">
        <f>="(X="&amp;F46&amp;",Y="&amp;G46&amp;")"</f>
        <v>(X=,Y=)</v>
      </c>
      <c r="O46" s="4" t="str">
        <f>=IF(ISBLANK(H46),"","("&amp;""""&amp;SUBSTITUTE(H46,"
",""""&amp;","&amp;"""")&amp;""""&amp;")")</f>
        <v/>
      </c>
    </row>
    <row r="47" spans="2:15">
      <c r="B47" s="24" t="s"/>
      <c r="C47" s="24" t="s"/>
      <c r="K47" s="6" t="str">
        <f>=IF(ISBLANK(I47),"","("&amp;""""&amp;SUBSTITUTE(I47,"
",""""&amp;","&amp;"""")&amp;""""&amp;")")</f>
        <v/>
      </c>
      <c r="L47" s="6" t="str">
        <f>=IF(ISBLANK(J47),"","("&amp;""""&amp;SUBSTITUTE(J47,"
",""""&amp;","&amp;"""")&amp;""""&amp;")")</f>
        <v/>
      </c>
      <c r="M47" s="6" t="str">
        <f>="(X="&amp;D47&amp;",Y="&amp;E47&amp;")"</f>
        <v>(X=,Y=)</v>
      </c>
      <c r="N47" s="6" t="str">
        <f>="(X="&amp;F47&amp;",Y="&amp;G47&amp;")"</f>
        <v>(X=,Y=)</v>
      </c>
      <c r="O47" s="4" t="str">
        <f>=IF(ISBLANK(H47),"","("&amp;""""&amp;SUBSTITUTE(H47,"
",""""&amp;","&amp;"""")&amp;""""&amp;")")</f>
        <v/>
      </c>
    </row>
    <row r="48" spans="2:15">
      <c r="B48" s="24" t="s"/>
      <c r="C48" s="24" t="s"/>
      <c r="K48" s="6" t="str">
        <f>=IF(ISBLANK(I48),"","("&amp;""""&amp;SUBSTITUTE(I48,"
",""""&amp;","&amp;"""")&amp;""""&amp;")")</f>
        <v/>
      </c>
      <c r="L48" s="6" t="str">
        <f>=IF(ISBLANK(J48),"","("&amp;""""&amp;SUBSTITUTE(J48,"
",""""&amp;","&amp;"""")&amp;""""&amp;")")</f>
        <v/>
      </c>
      <c r="M48" s="6" t="str">
        <f>="(X="&amp;D48&amp;",Y="&amp;E48&amp;")"</f>
        <v>(X=,Y=)</v>
      </c>
      <c r="N48" s="6" t="str">
        <f>="(X="&amp;F48&amp;",Y="&amp;G48&amp;")"</f>
        <v>(X=,Y=)</v>
      </c>
      <c r="O48" s="4" t="str">
        <f>=IF(ISBLANK(H48),"","("&amp;""""&amp;SUBSTITUTE(H48,"
",""""&amp;","&amp;"""")&amp;""""&amp;")")</f>
        <v/>
      </c>
    </row>
    <row r="49" spans="2:15">
      <c r="B49" s="24" t="s"/>
      <c r="C49" s="24" t="s"/>
      <c r="K49" s="6" t="str">
        <f>=IF(ISBLANK(I49),"","("&amp;""""&amp;SUBSTITUTE(I49,"
",""""&amp;","&amp;"""")&amp;""""&amp;")")</f>
        <v/>
      </c>
      <c r="L49" s="6" t="str">
        <f>=IF(ISBLANK(J49),"","("&amp;""""&amp;SUBSTITUTE(J49,"
",""""&amp;","&amp;"""")&amp;""""&amp;")")</f>
        <v/>
      </c>
      <c r="M49" s="6" t="str">
        <f>="(X="&amp;D49&amp;",Y="&amp;E49&amp;")"</f>
        <v>(X=,Y=)</v>
      </c>
      <c r="N49" s="6" t="str">
        <f>="(X="&amp;F49&amp;",Y="&amp;G49&amp;")"</f>
        <v>(X=,Y=)</v>
      </c>
      <c r="O49" s="4" t="str">
        <f>=IF(ISBLANK(H49),"","("&amp;""""&amp;SUBSTITUTE(H49,"
",""""&amp;","&amp;"""")&amp;""""&amp;")")</f>
        <v/>
      </c>
    </row>
    <row r="50" spans="2:15">
      <c r="B50" s="24" t="s"/>
      <c r="C50" s="24" t="s"/>
      <c r="K50" s="6" t="str">
        <f>=IF(ISBLANK(I50),"","("&amp;""""&amp;SUBSTITUTE(I50,"
",""""&amp;","&amp;"""")&amp;""""&amp;")")</f>
        <v/>
      </c>
      <c r="L50" s="6" t="str">
        <f>=IF(ISBLANK(J50),"","("&amp;""""&amp;SUBSTITUTE(J50,"
",""""&amp;","&amp;"""")&amp;""""&amp;")")</f>
        <v/>
      </c>
      <c r="M50" s="6" t="str">
        <f>="(X="&amp;D50&amp;",Y="&amp;E50&amp;")"</f>
        <v>(X=,Y=)</v>
      </c>
      <c r="N50" s="6" t="str">
        <f>="(X="&amp;F50&amp;",Y="&amp;G50&amp;")"</f>
        <v>(X=,Y=)</v>
      </c>
      <c r="O50" s="4" t="str">
        <f>=IF(ISBLANK(H50),"","("&amp;""""&amp;SUBSTITUTE(H50,"
",""""&amp;","&amp;"""")&amp;""""&amp;")")</f>
        <v/>
      </c>
    </row>
    <row r="51" spans="2:15">
      <c r="B51" s="24" t="s"/>
      <c r="C51" s="24" t="s"/>
      <c r="K51" s="6" t="str">
        <f>=IF(ISBLANK(I51),"","("&amp;""""&amp;SUBSTITUTE(I51,"
",""""&amp;","&amp;"""")&amp;""""&amp;")")</f>
        <v/>
      </c>
      <c r="L51" s="6" t="str">
        <f>=IF(ISBLANK(J51),"","("&amp;""""&amp;SUBSTITUTE(J51,"
",""""&amp;","&amp;"""")&amp;""""&amp;")")</f>
        <v/>
      </c>
      <c r="M51" s="6" t="str">
        <f>="(X="&amp;D51&amp;",Y="&amp;E51&amp;")"</f>
        <v>(X=,Y=)</v>
      </c>
      <c r="N51" s="6" t="str">
        <f>="(X="&amp;F51&amp;",Y="&amp;G51&amp;")"</f>
        <v>(X=,Y=)</v>
      </c>
      <c r="O51" s="4" t="str">
        <f>=IF(ISBLANK(H51),"","("&amp;""""&amp;SUBSTITUTE(H51,"
",""""&amp;","&amp;"""")&amp;""""&amp;")")</f>
        <v/>
      </c>
    </row>
    <row r="52" spans="2:15">
      <c r="B52" s="24" t="s"/>
      <c r="C52" s="24" t="s"/>
      <c r="K52" s="6" t="str">
        <f>=IF(ISBLANK(I52),"","("&amp;""""&amp;SUBSTITUTE(I52,"
",""""&amp;","&amp;"""")&amp;""""&amp;")")</f>
        <v/>
      </c>
      <c r="L52" s="6" t="str">
        <f>=IF(ISBLANK(J52),"","("&amp;""""&amp;SUBSTITUTE(J52,"
",""""&amp;","&amp;"""")&amp;""""&amp;")")</f>
        <v/>
      </c>
      <c r="M52" s="6" t="str">
        <f>="(X="&amp;D52&amp;",Y="&amp;E52&amp;")"</f>
        <v>(X=,Y=)</v>
      </c>
      <c r="N52" s="6" t="str">
        <f>="(X="&amp;F52&amp;",Y="&amp;G52&amp;")"</f>
        <v>(X=,Y=)</v>
      </c>
      <c r="O52" s="4" t="str">
        <f>=IF(ISBLANK(H52),"","("&amp;""""&amp;SUBSTITUTE(H52,"
",""""&amp;","&amp;"""")&amp;""""&amp;")")</f>
        <v/>
      </c>
    </row>
    <row r="53" spans="2:15">
      <c r="B53" s="24" t="s"/>
      <c r="C53" s="24" t="s"/>
      <c r="K53" s="6" t="str">
        <f>=IF(ISBLANK(I53),"","("&amp;""""&amp;SUBSTITUTE(I53,"
",""""&amp;","&amp;"""")&amp;""""&amp;")")</f>
        <v/>
      </c>
      <c r="L53" s="6" t="str">
        <f>=IF(ISBLANK(J53),"","("&amp;""""&amp;SUBSTITUTE(J53,"
",""""&amp;","&amp;"""")&amp;""""&amp;")")</f>
        <v/>
      </c>
      <c r="M53" s="6" t="str">
        <f>="(X="&amp;D53&amp;",Y="&amp;E53&amp;")"</f>
        <v>(X=,Y=)</v>
      </c>
      <c r="N53" s="6" t="str">
        <f>="(X="&amp;F53&amp;",Y="&amp;G53&amp;")"</f>
        <v>(X=,Y=)</v>
      </c>
      <c r="O53" s="4" t="str">
        <f>=IF(ISBLANK(H53),"","("&amp;""""&amp;SUBSTITUTE(H53,"
",""""&amp;","&amp;"""")&amp;""""&amp;")")</f>
        <v/>
      </c>
    </row>
    <row r="54" spans="2:15">
      <c r="B54" s="24" t="s"/>
      <c r="C54" s="24" t="s"/>
      <c r="K54" s="6" t="str">
        <f>=IF(ISBLANK(I54),"","("&amp;""""&amp;SUBSTITUTE(I54,"
",""""&amp;","&amp;"""")&amp;""""&amp;")")</f>
        <v/>
      </c>
      <c r="L54" s="6" t="str">
        <f>=IF(ISBLANK(J54),"","("&amp;""""&amp;SUBSTITUTE(J54,"
",""""&amp;","&amp;"""")&amp;""""&amp;")")</f>
        <v/>
      </c>
      <c r="M54" s="6" t="str">
        <f>="(X="&amp;D54&amp;",Y="&amp;E54&amp;")"</f>
        <v>(X=,Y=)</v>
      </c>
      <c r="N54" s="6" t="str">
        <f>="(X="&amp;F54&amp;",Y="&amp;G54&amp;")"</f>
        <v>(X=,Y=)</v>
      </c>
      <c r="O54" s="4" t="str">
        <f>=IF(ISBLANK(H54),"","("&amp;""""&amp;SUBSTITUTE(H54,"
",""""&amp;","&amp;"""")&amp;""""&amp;")")</f>
        <v/>
      </c>
    </row>
    <row r="55" spans="2:15">
      <c r="B55" s="24" t="s"/>
      <c r="C55" s="24" t="s"/>
      <c r="K55" s="6" t="str">
        <f>=IF(ISBLANK(I55),"","("&amp;""""&amp;SUBSTITUTE(I55,"
",""""&amp;","&amp;"""")&amp;""""&amp;")")</f>
        <v/>
      </c>
      <c r="L55" s="6" t="str">
        <f>=IF(ISBLANK(J55),"","("&amp;""""&amp;SUBSTITUTE(J55,"
",""""&amp;","&amp;"""")&amp;""""&amp;")")</f>
        <v/>
      </c>
      <c r="M55" s="6" t="str">
        <f>="(X="&amp;D55&amp;",Y="&amp;E55&amp;")"</f>
        <v>(X=,Y=)</v>
      </c>
      <c r="N55" s="6" t="str">
        <f>="(X="&amp;F55&amp;",Y="&amp;G55&amp;")"</f>
        <v>(X=,Y=)</v>
      </c>
      <c r="O55" s="4" t="str">
        <f>=IF(ISBLANK(H55),"","("&amp;""""&amp;SUBSTITUTE(H55,"
",""""&amp;","&amp;"""")&amp;""""&amp;")")</f>
        <v/>
      </c>
    </row>
    <row r="56" spans="2:15">
      <c r="B56" s="24" t="s"/>
      <c r="C56" s="24" t="s"/>
      <c r="K56" s="6" t="str">
        <f>=IF(ISBLANK(I56),"","("&amp;""""&amp;SUBSTITUTE(I56,"
",""""&amp;","&amp;"""")&amp;""""&amp;")")</f>
        <v/>
      </c>
      <c r="L56" s="6" t="str">
        <f>=IF(ISBLANK(J56),"","("&amp;""""&amp;SUBSTITUTE(J56,"
",""""&amp;","&amp;"""")&amp;""""&amp;")")</f>
        <v/>
      </c>
      <c r="M56" s="6" t="str">
        <f>="(X="&amp;D56&amp;",Y="&amp;E56&amp;")"</f>
        <v>(X=,Y=)</v>
      </c>
      <c r="N56" s="6" t="str">
        <f>="(X="&amp;F56&amp;",Y="&amp;G56&amp;")"</f>
        <v>(X=,Y=)</v>
      </c>
      <c r="O56" s="4" t="str">
        <f>=IF(ISBLANK(H56),"","("&amp;""""&amp;SUBSTITUTE(H56,"
",""""&amp;","&amp;"""")&amp;""""&amp;")")</f>
        <v/>
      </c>
    </row>
    <row r="57" spans="2:15">
      <c r="B57" s="24" t="s"/>
      <c r="C57" s="24" t="s"/>
      <c r="K57" s="6" t="str">
        <f>=IF(ISBLANK(I57),"","("&amp;""""&amp;SUBSTITUTE(I57,"
",""""&amp;","&amp;"""")&amp;""""&amp;")")</f>
        <v/>
      </c>
      <c r="L57" s="6" t="str">
        <f>=IF(ISBLANK(J57),"","("&amp;""""&amp;SUBSTITUTE(J57,"
",""""&amp;","&amp;"""")&amp;""""&amp;")")</f>
        <v/>
      </c>
      <c r="M57" s="6" t="str">
        <f>="(X="&amp;D57&amp;",Y="&amp;E57&amp;")"</f>
        <v>(X=,Y=)</v>
      </c>
      <c r="N57" s="6" t="str">
        <f>="(X="&amp;F57&amp;",Y="&amp;G57&amp;")"</f>
        <v>(X=,Y=)</v>
      </c>
      <c r="O57" s="4" t="str">
        <f>=IF(ISBLANK(H57),"","("&amp;""""&amp;SUBSTITUTE(H57,"
",""""&amp;","&amp;"""")&amp;""""&amp;")")</f>
        <v/>
      </c>
    </row>
    <row r="58" spans="2:15">
      <c r="B58" s="24" t="s"/>
      <c r="C58" s="24" t="s"/>
      <c r="K58" s="6" t="str">
        <f>=IF(ISBLANK(I58),"","("&amp;""""&amp;SUBSTITUTE(I58,"
",""""&amp;","&amp;"""")&amp;""""&amp;")")</f>
        <v/>
      </c>
      <c r="L58" s="6" t="str">
        <f>=IF(ISBLANK(J58),"","("&amp;""""&amp;SUBSTITUTE(J58,"
",""""&amp;","&amp;"""")&amp;""""&amp;")")</f>
        <v/>
      </c>
      <c r="M58" s="6" t="str">
        <f>="(X="&amp;D58&amp;",Y="&amp;E58&amp;")"</f>
        <v>(X=,Y=)</v>
      </c>
      <c r="N58" s="6" t="str">
        <f>="(X="&amp;F58&amp;",Y="&amp;G58&amp;")"</f>
        <v>(X=,Y=)</v>
      </c>
      <c r="O58" s="4" t="str">
        <f>=IF(ISBLANK(H58),"","("&amp;""""&amp;SUBSTITUTE(H58,"
",""""&amp;","&amp;"""")&amp;""""&amp;")")</f>
        <v/>
      </c>
    </row>
    <row r="59" spans="2:15">
      <c r="B59" s="24" t="s"/>
      <c r="C59" s="24" t="s"/>
      <c r="K59" s="6" t="str">
        <f>=IF(ISBLANK(I59),"","("&amp;""""&amp;SUBSTITUTE(I59,"
",""""&amp;","&amp;"""")&amp;""""&amp;")")</f>
        <v/>
      </c>
      <c r="L59" s="6" t="str">
        <f>=IF(ISBLANK(J59),"","("&amp;""""&amp;SUBSTITUTE(J59,"
",""""&amp;","&amp;"""")&amp;""""&amp;")")</f>
        <v/>
      </c>
      <c r="M59" s="6" t="str">
        <f>="(X="&amp;D59&amp;",Y="&amp;E59&amp;")"</f>
        <v>(X=,Y=)</v>
      </c>
      <c r="N59" s="6" t="str">
        <f>="(X="&amp;F59&amp;",Y="&amp;G59&amp;")"</f>
        <v>(X=,Y=)</v>
      </c>
      <c r="O59" s="4" t="str">
        <f>=IF(ISBLANK(H59),"","("&amp;""""&amp;SUBSTITUTE(H59,"
",""""&amp;","&amp;"""")&amp;""""&amp;")")</f>
        <v/>
      </c>
    </row>
    <row r="60" spans="2:15">
      <c r="B60" s="24" t="s"/>
      <c r="C60" s="24" t="s"/>
      <c r="K60" s="6" t="str">
        <f>=IF(ISBLANK(I60),"","("&amp;""""&amp;SUBSTITUTE(I60,"
",""""&amp;","&amp;"""")&amp;""""&amp;")")</f>
        <v/>
      </c>
      <c r="L60" s="6" t="str">
        <f>=IF(ISBLANK(J60),"","("&amp;""""&amp;SUBSTITUTE(J60,"
",""""&amp;","&amp;"""")&amp;""""&amp;")")</f>
        <v/>
      </c>
      <c r="M60" s="6" t="str">
        <f>="(X="&amp;D60&amp;",Y="&amp;E60&amp;")"</f>
        <v>(X=,Y=)</v>
      </c>
      <c r="N60" s="6" t="str">
        <f>="(X="&amp;F60&amp;",Y="&amp;G60&amp;")"</f>
        <v>(X=,Y=)</v>
      </c>
      <c r="O60" s="4" t="str">
        <f>=IF(ISBLANK(H60),"","("&amp;""""&amp;SUBSTITUTE(H60,"
",""""&amp;","&amp;"""")&amp;""""&amp;")")</f>
        <v/>
      </c>
    </row>
    <row r="61" spans="2:15">
      <c r="B61" s="24" t="s"/>
      <c r="C61" s="24" t="s"/>
      <c r="K61" s="6" t="str">
        <f>=IF(ISBLANK(I61),"","("&amp;""""&amp;SUBSTITUTE(I61,"
",""""&amp;","&amp;"""")&amp;""""&amp;")")</f>
        <v/>
      </c>
      <c r="L61" s="6" t="str">
        <f>=IF(ISBLANK(J61),"","("&amp;""""&amp;SUBSTITUTE(J61,"
",""""&amp;","&amp;"""")&amp;""""&amp;")")</f>
        <v/>
      </c>
      <c r="M61" s="6" t="str">
        <f>="(X="&amp;D61&amp;",Y="&amp;E61&amp;")"</f>
        <v>(X=,Y=)</v>
      </c>
      <c r="N61" s="6" t="str">
        <f>="(X="&amp;F61&amp;",Y="&amp;G61&amp;")"</f>
        <v>(X=,Y=)</v>
      </c>
      <c r="O61" s="4" t="str">
        <f>=IF(ISBLANK(H61),"","("&amp;""""&amp;SUBSTITUTE(H61,"
",""""&amp;","&amp;"""")&amp;""""&amp;")")</f>
        <v/>
      </c>
    </row>
    <row r="62" spans="2:15">
      <c r="B62" s="24" t="s"/>
      <c r="C62" s="24" t="s"/>
      <c r="K62" s="6" t="str">
        <f>=IF(ISBLANK(I62),"","("&amp;""""&amp;SUBSTITUTE(I62,"
",""""&amp;","&amp;"""")&amp;""""&amp;")")</f>
        <v/>
      </c>
      <c r="L62" s="6" t="str">
        <f>=IF(ISBLANK(J62),"","("&amp;""""&amp;SUBSTITUTE(J62,"
",""""&amp;","&amp;"""")&amp;""""&amp;")")</f>
        <v/>
      </c>
      <c r="M62" s="6" t="str">
        <f>="(X="&amp;D62&amp;",Y="&amp;E62&amp;")"</f>
        <v>(X=,Y=)</v>
      </c>
      <c r="N62" s="6" t="str">
        <f>="(X="&amp;F62&amp;",Y="&amp;G62&amp;")"</f>
        <v>(X=,Y=)</v>
      </c>
      <c r="O62" s="4" t="str">
        <f>=IF(ISBLANK(H62),"","("&amp;""""&amp;SUBSTITUTE(H62,"
",""""&amp;","&amp;"""")&amp;""""&amp;")")</f>
        <v/>
      </c>
    </row>
    <row r="63" spans="2:15">
      <c r="B63" s="24" t="s"/>
      <c r="C63" s="24" t="s"/>
      <c r="K63" s="6" t="str">
        <f>=IF(ISBLANK(I63),"","("&amp;""""&amp;SUBSTITUTE(I63,"
",""""&amp;","&amp;"""")&amp;""""&amp;")")</f>
        <v/>
      </c>
      <c r="L63" s="6" t="str">
        <f>=IF(ISBLANK(J63),"","("&amp;""""&amp;SUBSTITUTE(J63,"
",""""&amp;","&amp;"""")&amp;""""&amp;")")</f>
        <v/>
      </c>
      <c r="M63" s="6" t="str">
        <f>="(X="&amp;D63&amp;",Y="&amp;E63&amp;")"</f>
        <v>(X=,Y=)</v>
      </c>
      <c r="N63" s="6" t="str">
        <f>="(X="&amp;F63&amp;",Y="&amp;G63&amp;")"</f>
        <v>(X=,Y=)</v>
      </c>
      <c r="O63" s="4" t="str">
        <f>=IF(ISBLANK(H63),"","("&amp;""""&amp;SUBSTITUTE(H63,"
",""""&amp;","&amp;"""")&amp;""""&amp;")")</f>
        <v/>
      </c>
    </row>
    <row r="64" spans="2:15">
      <c r="B64" s="24" t="s"/>
      <c r="C64" s="24" t="s"/>
      <c r="K64" s="6" t="str">
        <f>=IF(ISBLANK(I64),"","("&amp;""""&amp;SUBSTITUTE(I64,"
",""""&amp;","&amp;"""")&amp;""""&amp;")")</f>
        <v/>
      </c>
      <c r="L64" s="6" t="str">
        <f>=IF(ISBLANK(J64),"","("&amp;""""&amp;SUBSTITUTE(J64,"
",""""&amp;","&amp;"""")&amp;""""&amp;")")</f>
        <v/>
      </c>
      <c r="M64" s="6" t="str">
        <f>="(X="&amp;D64&amp;",Y="&amp;E64&amp;")"</f>
        <v>(X=,Y=)</v>
      </c>
      <c r="N64" s="6" t="str">
        <f>="(X="&amp;F64&amp;",Y="&amp;G64&amp;")"</f>
        <v>(X=,Y=)</v>
      </c>
      <c r="O64" s="4" t="str">
        <f>=IF(ISBLANK(H64),"","("&amp;""""&amp;SUBSTITUTE(H64,"
",""""&amp;","&amp;"""")&amp;""""&amp;")")</f>
        <v/>
      </c>
    </row>
    <row r="65" spans="2:15">
      <c r="B65" s="24" t="s"/>
      <c r="C65" s="24" t="s"/>
      <c r="K65" s="6" t="str">
        <f>=IF(ISBLANK(I65),"","("&amp;""""&amp;SUBSTITUTE(I65,"
",""""&amp;","&amp;"""")&amp;""""&amp;")")</f>
        <v/>
      </c>
      <c r="L65" s="6" t="str">
        <f>=IF(ISBLANK(J65),"","("&amp;""""&amp;SUBSTITUTE(J65,"
",""""&amp;","&amp;"""")&amp;""""&amp;")")</f>
        <v/>
      </c>
      <c r="M65" s="6" t="str">
        <f>="(X="&amp;D65&amp;",Y="&amp;E65&amp;")"</f>
        <v>(X=,Y=)</v>
      </c>
      <c r="N65" s="6" t="str">
        <f>="(X="&amp;F65&amp;",Y="&amp;G65&amp;")"</f>
        <v>(X=,Y=)</v>
      </c>
      <c r="O65" s="4" t="str">
        <f>=IF(ISBLANK(H65),"","("&amp;""""&amp;SUBSTITUTE(H65,"
",""""&amp;","&amp;"""")&amp;""""&amp;")")</f>
        <v/>
      </c>
    </row>
    <row r="66" spans="2:15">
      <c r="B66" s="24" t="s"/>
      <c r="C66" s="24" t="s"/>
      <c r="K66" s="6" t="str">
        <f>=IF(ISBLANK(I66),"","("&amp;""""&amp;SUBSTITUTE(I66,"
",""""&amp;","&amp;"""")&amp;""""&amp;")")</f>
        <v/>
      </c>
      <c r="L66" s="6" t="str">
        <f>=IF(ISBLANK(J66),"","("&amp;""""&amp;SUBSTITUTE(J66,"
",""""&amp;","&amp;"""")&amp;""""&amp;")")</f>
        <v/>
      </c>
      <c r="M66" s="6" t="str">
        <f>="(X="&amp;D66&amp;",Y="&amp;E66&amp;")"</f>
        <v>(X=,Y=)</v>
      </c>
      <c r="N66" s="6" t="str">
        <f>="(X="&amp;F66&amp;",Y="&amp;G66&amp;")"</f>
        <v>(X=,Y=)</v>
      </c>
      <c r="O66" s="4" t="str">
        <f>=IF(ISBLANK(H66),"","("&amp;""""&amp;SUBSTITUTE(H66,"
",""""&amp;","&amp;"""")&amp;""""&amp;")")</f>
        <v/>
      </c>
    </row>
    <row r="67" spans="2:15">
      <c r="B67" s="24" t="s"/>
      <c r="C67" s="24" t="s"/>
      <c r="K67" s="6" t="str">
        <f>=IF(ISBLANK(I67),"","("&amp;""""&amp;SUBSTITUTE(I67,"
",""""&amp;","&amp;"""")&amp;""""&amp;")")</f>
        <v/>
      </c>
      <c r="L67" s="6" t="str">
        <f>=IF(ISBLANK(J67),"","("&amp;""""&amp;SUBSTITUTE(J67,"
",""""&amp;","&amp;"""")&amp;""""&amp;")")</f>
        <v/>
      </c>
      <c r="M67" s="6" t="str">
        <f>="(X="&amp;D67&amp;",Y="&amp;E67&amp;")"</f>
        <v>(X=,Y=)</v>
      </c>
      <c r="N67" s="6" t="str">
        <f>="(X="&amp;F67&amp;",Y="&amp;G67&amp;")"</f>
        <v>(X=,Y=)</v>
      </c>
      <c r="O67" s="4" t="str">
        <f>=IF(ISBLANK(H67),"","("&amp;""""&amp;SUBSTITUTE(H67,"
",""""&amp;","&amp;"""")&amp;""""&amp;")")</f>
        <v/>
      </c>
    </row>
    <row r="68" spans="2:15">
      <c r="B68" s="24" t="s"/>
      <c r="C68" s="24" t="s"/>
      <c r="K68" s="6" t="str">
        <f>=IF(ISBLANK(I68),"","("&amp;""""&amp;SUBSTITUTE(I68,"
",""""&amp;","&amp;"""")&amp;""""&amp;")")</f>
        <v/>
      </c>
      <c r="L68" s="6" t="str">
        <f>=IF(ISBLANK(J68),"","("&amp;""""&amp;SUBSTITUTE(J68,"
",""""&amp;","&amp;"""")&amp;""""&amp;")")</f>
        <v/>
      </c>
      <c r="M68" s="6" t="str">
        <f>="(X="&amp;D68&amp;",Y="&amp;E68&amp;")"</f>
        <v>(X=,Y=)</v>
      </c>
      <c r="N68" s="6" t="str">
        <f>="(X="&amp;F68&amp;",Y="&amp;G68&amp;")"</f>
        <v>(X=,Y=)</v>
      </c>
      <c r="O68" s="4" t="str">
        <f>=IF(ISBLANK(H68),"","("&amp;""""&amp;SUBSTITUTE(H68,"
",""""&amp;","&amp;"""")&amp;""""&amp;")")</f>
        <v/>
      </c>
    </row>
    <row r="69" spans="2:15">
      <c r="B69" s="24" t="s"/>
      <c r="C69" s="24" t="s"/>
      <c r="K69" s="6" t="str">
        <f>=IF(ISBLANK(I69),"","("&amp;""""&amp;SUBSTITUTE(I69,"
",""""&amp;","&amp;"""")&amp;""""&amp;")")</f>
        <v/>
      </c>
      <c r="L69" s="6" t="str">
        <f>=IF(ISBLANK(J69),"","("&amp;""""&amp;SUBSTITUTE(J69,"
",""""&amp;","&amp;"""")&amp;""""&amp;")")</f>
        <v/>
      </c>
      <c r="M69" s="6" t="str">
        <f>="(X="&amp;D69&amp;",Y="&amp;E69&amp;")"</f>
        <v>(X=,Y=)</v>
      </c>
      <c r="N69" s="6" t="str">
        <f>="(X="&amp;F69&amp;",Y="&amp;G69&amp;")"</f>
        <v>(X=,Y=)</v>
      </c>
      <c r="O69" s="4" t="str">
        <f>=IF(ISBLANK(H69),"","("&amp;""""&amp;SUBSTITUTE(H69,"
",""""&amp;","&amp;"""")&amp;""""&amp;")")</f>
        <v/>
      </c>
    </row>
    <row r="70" spans="2:15">
      <c r="B70" s="24" t="s"/>
      <c r="C70" s="24" t="s"/>
      <c r="K70" s="6" t="str">
        <f>=IF(ISBLANK(I70),"","("&amp;""""&amp;SUBSTITUTE(I70,"
",""""&amp;","&amp;"""")&amp;""""&amp;")")</f>
        <v/>
      </c>
      <c r="L70" s="6" t="str">
        <f>=IF(ISBLANK(J70),"","("&amp;""""&amp;SUBSTITUTE(J70,"
",""""&amp;","&amp;"""")&amp;""""&amp;")")</f>
        <v/>
      </c>
      <c r="M70" s="6" t="str">
        <f>="(X="&amp;D70&amp;",Y="&amp;E70&amp;")"</f>
        <v>(X=,Y=)</v>
      </c>
      <c r="N70" s="6" t="str">
        <f>="(X="&amp;F70&amp;",Y="&amp;G70&amp;")"</f>
        <v>(X=,Y=)</v>
      </c>
      <c r="O70" s="4" t="str">
        <f>=IF(ISBLANK(H70),"","("&amp;""""&amp;SUBSTITUTE(H70,"
",""""&amp;","&amp;"""")&amp;""""&amp;")")</f>
        <v/>
      </c>
    </row>
    <row r="71" spans="2:15">
      <c r="B71" s="24" t="s"/>
      <c r="C71" s="24" t="s"/>
      <c r="K71" s="6" t="str">
        <f>=IF(ISBLANK(I71),"","("&amp;""""&amp;SUBSTITUTE(I71,"
",""""&amp;","&amp;"""")&amp;""""&amp;")")</f>
        <v/>
      </c>
      <c r="L71" s="6" t="str">
        <f>=IF(ISBLANK(J71),"","("&amp;""""&amp;SUBSTITUTE(J71,"
",""""&amp;","&amp;"""")&amp;""""&amp;")")</f>
        <v/>
      </c>
      <c r="M71" s="6" t="str">
        <f>="(X="&amp;D71&amp;",Y="&amp;E71&amp;")"</f>
        <v>(X=,Y=)</v>
      </c>
      <c r="N71" s="6" t="str">
        <f>="(X="&amp;F71&amp;",Y="&amp;G71&amp;")"</f>
        <v>(X=,Y=)</v>
      </c>
      <c r="O71" s="4" t="str">
        <f>=IF(ISBLANK(H71),"","("&amp;""""&amp;SUBSTITUTE(H71,"
",""""&amp;","&amp;"""")&amp;""""&amp;")")</f>
        <v/>
      </c>
    </row>
    <row r="72" spans="2:15">
      <c r="B72" s="24" t="s"/>
      <c r="C72" s="24" t="s"/>
      <c r="K72" s="6" t="str">
        <f>=IF(ISBLANK(I72),"","("&amp;""""&amp;SUBSTITUTE(I72,"
",""""&amp;","&amp;"""")&amp;""""&amp;")")</f>
        <v/>
      </c>
      <c r="L72" s="6" t="str">
        <f>=IF(ISBLANK(J72),"","("&amp;""""&amp;SUBSTITUTE(J72,"
",""""&amp;","&amp;"""")&amp;""""&amp;")")</f>
        <v/>
      </c>
      <c r="M72" s="6" t="str">
        <f>="(X="&amp;D72&amp;",Y="&amp;E72&amp;")"</f>
        <v>(X=,Y=)</v>
      </c>
      <c r="N72" s="6" t="str">
        <f>="(X="&amp;F72&amp;",Y="&amp;G72&amp;")"</f>
        <v>(X=,Y=)</v>
      </c>
      <c r="O72" s="4" t="str">
        <f>=IF(ISBLANK(H72),"","("&amp;""""&amp;SUBSTITUTE(H72,"
",""""&amp;","&amp;"""")&amp;""""&amp;")")</f>
        <v/>
      </c>
    </row>
    <row r="73" spans="2:15">
      <c r="B73" s="24" t="s"/>
      <c r="C73" s="24" t="s"/>
      <c r="K73" s="6" t="str">
        <f>=IF(ISBLANK(I73),"","("&amp;""""&amp;SUBSTITUTE(I73,"
",""""&amp;","&amp;"""")&amp;""""&amp;")")</f>
        <v/>
      </c>
      <c r="M73" s="6" t="str">
        <f>="(X="&amp;D73&amp;",Y="&amp;E73&amp;")"</f>
        <v>(X=,Y=)</v>
      </c>
      <c r="N73" s="6" t="str">
        <f>="(X="&amp;F73&amp;",Y="&amp;G73&amp;")"</f>
        <v>(X=,Y=)</v>
      </c>
      <c r="O73" s="4" t="str">
        <f>=IF(ISBLANK(H73),"","("&amp;""""&amp;SUBSTITUTE(H73,"
",""""&amp;","&amp;"""")&amp;""""&amp;")")</f>
        <v/>
      </c>
    </row>
    <row r="74" spans="2:15">
      <c r="B74" s="24" t="s"/>
      <c r="C74" s="24" t="s"/>
      <c r="K74" s="6" t="str">
        <f>=IF(ISBLANK(I74),"","("&amp;""""&amp;SUBSTITUTE(I74,"
",""""&amp;","&amp;"""")&amp;""""&amp;")")</f>
        <v/>
      </c>
      <c r="M74" s="6" t="str">
        <f>="(X="&amp;D74&amp;",Y="&amp;E74&amp;")"</f>
        <v>(X=,Y=)</v>
      </c>
      <c r="N74" s="6" t="str">
        <f>="(X="&amp;F74&amp;",Y="&amp;G74&amp;")"</f>
        <v>(X=,Y=)</v>
      </c>
      <c r="O74" s="4" t="str">
        <f>=IF(ISBLANK(H74),"","("&amp;""""&amp;SUBSTITUTE(H74,"
",""""&amp;","&amp;"""")&amp;""""&amp;")")</f>
        <v/>
      </c>
    </row>
    <row r="75" spans="2:15">
      <c r="B75" s="24" t="s"/>
      <c r="C75" s="24" t="s"/>
      <c r="K75" s="6" t="str">
        <f>=IF(ISBLANK(I75),"","("&amp;""""&amp;SUBSTITUTE(I75,"
",""""&amp;","&amp;"""")&amp;""""&amp;")")</f>
        <v/>
      </c>
      <c r="M75" s="6" t="str">
        <f>="(X="&amp;D75&amp;",Y="&amp;E75&amp;")"</f>
        <v>(X=,Y=)</v>
      </c>
      <c r="N75" s="6" t="str">
        <f>="(X="&amp;F75&amp;",Y="&amp;G75&amp;")"</f>
        <v>(X=,Y=)</v>
      </c>
      <c r="O75" s="4" t="str">
        <f>=IF(ISBLANK(H75),"","("&amp;""""&amp;SUBSTITUTE(H75,"
",""""&amp;","&amp;"""")&amp;""""&amp;")")</f>
        <v/>
      </c>
    </row>
    <row r="76" spans="2:15">
      <c r="B76" s="24" t="s"/>
      <c r="C76" s="24" t="s"/>
      <c r="K76" s="6" t="str">
        <f>=IF(ISBLANK(I76),"","("&amp;""""&amp;SUBSTITUTE(I76,"
",""""&amp;","&amp;"""")&amp;""""&amp;")")</f>
        <v/>
      </c>
      <c r="M76" s="6" t="str">
        <f>="(X="&amp;D76&amp;",Y="&amp;E76&amp;")"</f>
        <v>(X=,Y=)</v>
      </c>
      <c r="N76" s="6" t="str">
        <f>="(X="&amp;F76&amp;",Y="&amp;G76&amp;")"</f>
        <v>(X=,Y=)</v>
      </c>
      <c r="O76" s="4" t="str">
        <f>=IF(ISBLANK(H76),"","("&amp;""""&amp;SUBSTITUTE(H76,"
",""""&amp;","&amp;"""")&amp;""""&amp;")")</f>
        <v/>
      </c>
    </row>
    <row r="77" spans="2:15">
      <c r="B77" s="24" t="s"/>
      <c r="C77" s="24" t="s"/>
      <c r="K77" s="6" t="str">
        <f>=IF(ISBLANK(I77),"","("&amp;""""&amp;SUBSTITUTE(I77,"
",""""&amp;","&amp;"""")&amp;""""&amp;")")</f>
        <v/>
      </c>
      <c r="M77" s="6" t="str">
        <f>="(X="&amp;D77&amp;",Y="&amp;E77&amp;")"</f>
        <v>(X=,Y=)</v>
      </c>
      <c r="N77" s="6" t="str">
        <f>="(X="&amp;F77&amp;",Y="&amp;G77&amp;")"</f>
        <v>(X=,Y=)</v>
      </c>
      <c r="O77" s="4" t="str">
        <f>=IF(ISBLANK(H77),"","("&amp;""""&amp;SUBSTITUTE(H77,"
",""""&amp;","&amp;"""")&amp;""""&amp;")")</f>
        <v/>
      </c>
    </row>
    <row r="78" spans="2:15">
      <c r="B78" s="24" t="s"/>
      <c r="C78" s="24" t="s"/>
      <c r="K78" s="6" t="str">
        <f>=IF(ISBLANK(I78),"","("&amp;""""&amp;SUBSTITUTE(I78,"
",""""&amp;","&amp;"""")&amp;""""&amp;")")</f>
        <v/>
      </c>
      <c r="M78" s="6" t="str">
        <f>="(X="&amp;D78&amp;",Y="&amp;E78&amp;")"</f>
        <v>(X=,Y=)</v>
      </c>
      <c r="N78" s="6" t="str">
        <f>="(X="&amp;F78&amp;",Y="&amp;G78&amp;")"</f>
        <v>(X=,Y=)</v>
      </c>
      <c r="O78" s="4" t="str">
        <f>=IF(ISBLANK(H78),"","("&amp;""""&amp;SUBSTITUTE(H78,"
",""""&amp;","&amp;"""")&amp;""""&amp;")")</f>
        <v/>
      </c>
    </row>
    <row r="79" spans="2:15">
      <c r="B79" s="24" t="s"/>
      <c r="C79" s="24" t="s"/>
      <c r="K79" s="6" t="str">
        <f>=IF(ISBLANK(I79),"","("&amp;""""&amp;SUBSTITUTE(I79,"
",""""&amp;","&amp;"""")&amp;""""&amp;")")</f>
        <v/>
      </c>
      <c r="M79" s="6" t="str">
        <f>="(X="&amp;D79&amp;",Y="&amp;E79&amp;")"</f>
        <v>(X=,Y=)</v>
      </c>
      <c r="N79" s="6" t="str">
        <f>="(X="&amp;F79&amp;",Y="&amp;G79&amp;")"</f>
        <v>(X=,Y=)</v>
      </c>
      <c r="O79" s="4" t="str">
        <f>=IF(ISBLANK(H79),"","("&amp;""""&amp;SUBSTITUTE(H79,"
",""""&amp;","&amp;"""")&amp;""""&amp;")")</f>
        <v/>
      </c>
    </row>
    <row r="80" spans="2:15">
      <c r="B80" s="24" t="s"/>
      <c r="C80" s="24" t="s"/>
      <c r="K80" s="6" t="str">
        <f>=IF(ISBLANK(I80),"","("&amp;""""&amp;SUBSTITUTE(I80,"
",""""&amp;","&amp;"""")&amp;""""&amp;")")</f>
        <v/>
      </c>
      <c r="M80" s="6" t="str">
        <f>="(X="&amp;D80&amp;",Y="&amp;E80&amp;")"</f>
        <v>(X=,Y=)</v>
      </c>
      <c r="N80" s="6" t="str">
        <f>="(X="&amp;F80&amp;",Y="&amp;G80&amp;")"</f>
        <v>(X=,Y=)</v>
      </c>
      <c r="O80" s="4" t="str">
        <f>=IF(ISBLANK(H80),"","("&amp;""""&amp;SUBSTITUTE(H80,"
",""""&amp;","&amp;"""")&amp;""""&amp;")")</f>
        <v/>
      </c>
    </row>
    <row r="81" spans="2:15">
      <c r="B81" s="24" t="s"/>
      <c r="C81" s="24" t="s"/>
      <c r="K81" s="6" t="str">
        <f>=IF(ISBLANK(I81),"","("&amp;""""&amp;SUBSTITUTE(I81,"
",""""&amp;","&amp;"""")&amp;""""&amp;")")</f>
        <v/>
      </c>
      <c r="M81" s="6" t="str">
        <f>="(X="&amp;D81&amp;",Y="&amp;E81&amp;")"</f>
        <v>(X=,Y=)</v>
      </c>
      <c r="N81" s="6" t="str">
        <f>="(X="&amp;F81&amp;",Y="&amp;G81&amp;")"</f>
        <v>(X=,Y=)</v>
      </c>
      <c r="O81" s="4" t="str">
        <f>=IF(ISBLANK(H81),"","("&amp;""""&amp;SUBSTITUTE(H81,"
",""""&amp;","&amp;"""")&amp;""""&amp;")")</f>
        <v/>
      </c>
    </row>
    <row r="82" spans="2:15">
      <c r="B82" s="24" t="s"/>
      <c r="C82" s="24" t="s"/>
      <c r="K82" s="6" t="str">
        <f>=IF(ISBLANK(I82),"","("&amp;""""&amp;SUBSTITUTE(I82,"
",""""&amp;","&amp;"""")&amp;""""&amp;")")</f>
        <v/>
      </c>
      <c r="M82" s="6" t="str">
        <f>="(X="&amp;D82&amp;",Y="&amp;E82&amp;")"</f>
        <v>(X=,Y=)</v>
      </c>
      <c r="N82" s="6" t="str">
        <f>="(X="&amp;F82&amp;",Y="&amp;G82&amp;")"</f>
        <v>(X=,Y=)</v>
      </c>
      <c r="O82" s="4" t="str">
        <f>=IF(ISBLANK(H82),"","("&amp;""""&amp;SUBSTITUTE(H82,"
",""""&amp;","&amp;"""")&amp;""""&amp;")")</f>
        <v/>
      </c>
    </row>
    <row r="83" spans="2:15">
      <c r="B83" s="24" t="s"/>
      <c r="C83" s="24" t="s"/>
      <c r="K83" s="6" t="str">
        <f>=IF(ISBLANK(I83),"","("&amp;""""&amp;SUBSTITUTE(I83,"
",""""&amp;","&amp;"""")&amp;""""&amp;")")</f>
        <v/>
      </c>
      <c r="M83" s="6" t="str">
        <f>="(X="&amp;D83&amp;",Y="&amp;E83&amp;")"</f>
        <v>(X=,Y=)</v>
      </c>
      <c r="N83" s="6" t="str">
        <f>="(X="&amp;F83&amp;",Y="&amp;G83&amp;")"</f>
        <v>(X=,Y=)</v>
      </c>
      <c r="O83" s="4" t="str">
        <f>=IF(ISBLANK(H83),"","("&amp;""""&amp;SUBSTITUTE(H83,"
",""""&amp;","&amp;"""")&amp;""""&amp;")")</f>
        <v/>
      </c>
    </row>
    <row r="84" spans="2:15">
      <c r="B84" s="24" t="s"/>
      <c r="C84" s="24" t="s"/>
      <c r="K84" s="6" t="str">
        <f>=IF(ISBLANK(I84),"","("&amp;""""&amp;SUBSTITUTE(I84,"
",""""&amp;","&amp;"""")&amp;""""&amp;")")</f>
        <v/>
      </c>
      <c r="M84" s="6" t="str">
        <f>="(X="&amp;D84&amp;",Y="&amp;E84&amp;")"</f>
        <v>(X=,Y=)</v>
      </c>
      <c r="N84" s="6" t="str">
        <f>="(X="&amp;F84&amp;",Y="&amp;G84&amp;")"</f>
        <v>(X=,Y=)</v>
      </c>
      <c r="O84" s="4" t="str">
        <f>=IF(ISBLANK(H84),"","("&amp;""""&amp;SUBSTITUTE(H84,"
",""""&amp;","&amp;"""")&amp;""""&amp;")")</f>
        <v/>
      </c>
    </row>
    <row r="85" spans="2:15">
      <c r="B85" s="24" t="s"/>
      <c r="C85" s="24" t="s"/>
      <c r="K85" s="6" t="str">
        <f>=IF(ISBLANK(I85),"","("&amp;""""&amp;SUBSTITUTE(I85,"
",""""&amp;","&amp;"""")&amp;""""&amp;")")</f>
        <v/>
      </c>
      <c r="M85" s="6" t="str">
        <f>="(X="&amp;D85&amp;",Y="&amp;E85&amp;")"</f>
        <v>(X=,Y=)</v>
      </c>
      <c r="N85" s="6" t="str">
        <f>="(X="&amp;F85&amp;",Y="&amp;G85&amp;")"</f>
        <v>(X=,Y=)</v>
      </c>
      <c r="O85" s="4" t="str">
        <f>=IF(ISBLANK(H85),"","("&amp;""""&amp;SUBSTITUTE(H85,"
",""""&amp;","&amp;"""")&amp;""""&amp;")")</f>
        <v/>
      </c>
    </row>
    <row r="86" spans="2:15">
      <c r="B86" s="24" t="s"/>
      <c r="C86" s="24" t="s"/>
      <c r="K86" s="6" t="str">
        <f>=IF(ISBLANK(I86),"","("&amp;""""&amp;SUBSTITUTE(I86,"
",""""&amp;","&amp;"""")&amp;""""&amp;")")</f>
        <v/>
      </c>
      <c r="M86" s="6" t="str">
        <f>="(X="&amp;D86&amp;",Y="&amp;E86&amp;")"</f>
        <v>(X=,Y=)</v>
      </c>
      <c r="N86" s="6" t="str">
        <f>="(X="&amp;F86&amp;",Y="&amp;G86&amp;")"</f>
        <v>(X=,Y=)</v>
      </c>
      <c r="O86" s="4" t="str">
        <f>=IF(ISBLANK(H86),"","("&amp;""""&amp;SUBSTITUTE(H86,"
",""""&amp;","&amp;"""")&amp;""""&amp;")")</f>
        <v/>
      </c>
    </row>
    <row r="87" spans="2:15">
      <c r="B87" s="24" t="s"/>
      <c r="C87" s="24" t="s"/>
      <c r="K87" s="6" t="str">
        <f>=IF(ISBLANK(I87),"","("&amp;""""&amp;SUBSTITUTE(I87,"
",""""&amp;","&amp;"""")&amp;""""&amp;")")</f>
        <v/>
      </c>
      <c r="M87" s="6" t="str">
        <f>="(X="&amp;D87&amp;",Y="&amp;E87&amp;")"</f>
        <v>(X=,Y=)</v>
      </c>
      <c r="N87" s="6" t="str">
        <f>="(X="&amp;F87&amp;",Y="&amp;G87&amp;")"</f>
        <v>(X=,Y=)</v>
      </c>
      <c r="O87" s="4" t="str">
        <f>=IF(ISBLANK(H87),"","("&amp;""""&amp;SUBSTITUTE(H87,"
",""""&amp;","&amp;"""")&amp;""""&amp;")")</f>
        <v/>
      </c>
    </row>
    <row r="88" spans="2:15">
      <c r="B88" s="24" t="s"/>
      <c r="C88" s="24" t="s"/>
      <c r="K88" s="6" t="str">
        <f>=IF(ISBLANK(I88),"","("&amp;""""&amp;SUBSTITUTE(I88,"
",""""&amp;","&amp;"""")&amp;""""&amp;")")</f>
        <v/>
      </c>
      <c r="M88" s="6" t="str">
        <f>="(X="&amp;D88&amp;",Y="&amp;E88&amp;")"</f>
        <v>(X=,Y=)</v>
      </c>
      <c r="N88" s="6" t="str">
        <f>="(X="&amp;F88&amp;",Y="&amp;G88&amp;")"</f>
        <v>(X=,Y=)</v>
      </c>
      <c r="O88" s="4" t="str">
        <f>=IF(ISBLANK(H88),"","("&amp;""""&amp;SUBSTITUTE(H88,"
",""""&amp;","&amp;"""")&amp;""""&amp;")")</f>
        <v/>
      </c>
    </row>
    <row r="89" spans="2:15">
      <c r="B89" s="24" t="s"/>
      <c r="C89" s="24" t="s"/>
      <c r="M89" s="6" t="str">
        <f>="(X="&amp;D89&amp;",Y="&amp;E89&amp;")"</f>
        <v>(X=,Y=)</v>
      </c>
      <c r="N89" s="6" t="str">
        <f>="(X="&amp;F89&amp;",Y="&amp;G89&amp;")"</f>
        <v>(X=,Y=)</v>
      </c>
      <c r="O89" s="4" t="str">
        <f>=IF(ISBLANK(H89),"","("&amp;""""&amp;SUBSTITUTE(H89,"
",""""&amp;","&amp;"""")&amp;""""&amp;")")</f>
        <v/>
      </c>
    </row>
    <row r="90" spans="2:15">
      <c r="B90" s="24" t="s"/>
      <c r="C90" s="24" t="s"/>
      <c r="M90" s="6" t="str">
        <f>="(X="&amp;D90&amp;",Y="&amp;E90&amp;")"</f>
        <v>(X=,Y=)</v>
      </c>
      <c r="N90" s="6" t="str">
        <f>="(X="&amp;F90&amp;",Y="&amp;G90&amp;")"</f>
        <v>(X=,Y=)</v>
      </c>
      <c r="O90" s="4" t="str">
        <f>=IF(ISBLANK(H90),"","("&amp;""""&amp;SUBSTITUTE(H90,"
",""""&amp;","&amp;"""")&amp;""""&amp;")")</f>
        <v/>
      </c>
    </row>
    <row r="91" spans="2:15">
      <c r="B91" s="24" t="s"/>
      <c r="C91" s="24" t="s"/>
      <c r="M91" s="6" t="str">
        <f>="(X="&amp;D91&amp;",Y="&amp;E91&amp;")"</f>
        <v>(X=,Y=)</v>
      </c>
      <c r="N91" s="6" t="str">
        <f>="(X="&amp;F91&amp;",Y="&amp;G91&amp;")"</f>
        <v>(X=,Y=)</v>
      </c>
      <c r="O91" s="4" t="str">
        <f>=IF(ISBLANK(H91),"","("&amp;""""&amp;SUBSTITUTE(H91,"
",""""&amp;","&amp;"""")&amp;""""&amp;")")</f>
        <v/>
      </c>
    </row>
    <row r="92" spans="2:15">
      <c r="B92" s="24" t="s"/>
      <c r="C92" s="24" t="s"/>
      <c r="M92" s="6" t="str">
        <f>="(X="&amp;D92&amp;",Y="&amp;E92&amp;")"</f>
        <v>(X=,Y=)</v>
      </c>
      <c r="N92" s="6" t="str">
        <f>="(X="&amp;F92&amp;",Y="&amp;G92&amp;")"</f>
        <v>(X=,Y=)</v>
      </c>
      <c r="O92" s="4" t="str">
        <f>=IF(ISBLANK(H92),"","("&amp;""""&amp;SUBSTITUTE(H92,"
",""""&amp;","&amp;"""")&amp;""""&amp;")")</f>
        <v/>
      </c>
    </row>
    <row r="93" spans="2:15">
      <c r="B93" s="24" t="s"/>
      <c r="C93" s="24" t="s"/>
      <c r="M93" s="6" t="str">
        <f>="(X="&amp;D93&amp;",Y="&amp;E93&amp;")"</f>
        <v>(X=,Y=)</v>
      </c>
      <c r="N93" s="6" t="str">
        <f>="(X="&amp;F93&amp;",Y="&amp;G93&amp;")"</f>
        <v>(X=,Y=)</v>
      </c>
      <c r="O93" s="4" t="str">
        <f>=IF(ISBLANK(H93),"","("&amp;""""&amp;SUBSTITUTE(H93,"
",""""&amp;","&amp;"""")&amp;""""&amp;")")</f>
        <v/>
      </c>
    </row>
    <row r="94" spans="2:15">
      <c r="B94" s="24" t="s"/>
      <c r="C94" s="24" t="s"/>
      <c r="M94" s="6" t="str">
        <f>="(X="&amp;D94&amp;",Y="&amp;E94&amp;")"</f>
        <v>(X=,Y=)</v>
      </c>
      <c r="N94" s="6" t="str">
        <f>="(X="&amp;F94&amp;",Y="&amp;G94&amp;")"</f>
        <v>(X=,Y=)</v>
      </c>
      <c r="O94" s="4" t="str">
        <f>=IF(ISBLANK(H94),"","("&amp;""""&amp;SUBSTITUTE(H94,"
",""""&amp;","&amp;"""")&amp;""""&amp;")")</f>
        <v/>
      </c>
    </row>
    <row r="95" spans="2:15">
      <c r="B95" s="24" t="s"/>
      <c r="C95" s="24" t="s"/>
      <c r="M95" s="6" t="str">
        <f>="(X="&amp;D95&amp;",Y="&amp;E95&amp;")"</f>
        <v>(X=,Y=)</v>
      </c>
      <c r="N95" s="6" t="str">
        <f>="(X="&amp;F95&amp;",Y="&amp;G95&amp;")"</f>
        <v>(X=,Y=)</v>
      </c>
      <c r="O95" s="4" t="str">
        <f>=IF(ISBLANK(H95),"","("&amp;""""&amp;SUBSTITUTE(H95,"
",""""&amp;","&amp;"""")&amp;""""&amp;")")</f>
        <v/>
      </c>
    </row>
    <row r="96" spans="2:15">
      <c r="B96" s="24" t="s"/>
      <c r="C96" s="24" t="s"/>
      <c r="M96" s="6" t="str">
        <f>="(X="&amp;D96&amp;",Y="&amp;E96&amp;")"</f>
        <v>(X=,Y=)</v>
      </c>
      <c r="N96" s="6" t="str">
        <f>="(X="&amp;F96&amp;",Y="&amp;G96&amp;")"</f>
        <v>(X=,Y=)</v>
      </c>
      <c r="O96" s="4" t="str">
        <f>=IF(ISBLANK(H96),"","("&amp;""""&amp;SUBSTITUTE(H96,"
",""""&amp;","&amp;"""")&amp;""""&amp;")")</f>
        <v/>
      </c>
    </row>
    <row r="97" spans="2:15">
      <c r="B97" s="24" t="s"/>
      <c r="C97" s="24" t="s"/>
      <c r="M97" s="6" t="str">
        <f>="(X="&amp;D97&amp;",Y="&amp;E97&amp;")"</f>
        <v>(X=,Y=)</v>
      </c>
      <c r="N97" s="6" t="str">
        <f>="(X="&amp;F97&amp;",Y="&amp;G97&amp;")"</f>
        <v>(X=,Y=)</v>
      </c>
      <c r="O97" s="4" t="str">
        <f>=IF(ISBLANK(H97),"","("&amp;""""&amp;SUBSTITUTE(H97,"
",""""&amp;","&amp;"""")&amp;""""&amp;")")</f>
        <v/>
      </c>
    </row>
    <row r="98" spans="2:15">
      <c r="B98" s="24" t="s"/>
      <c r="C98" s="24" t="s"/>
      <c r="M98" s="6" t="str">
        <f>="(X="&amp;D98&amp;",Y="&amp;E98&amp;")"</f>
        <v>(X=,Y=)</v>
      </c>
      <c r="N98" s="6" t="str">
        <f>="(X="&amp;F98&amp;",Y="&amp;G98&amp;")"</f>
        <v>(X=,Y=)</v>
      </c>
      <c r="O98" s="4" t="str">
        <f>=IF(ISBLANK(H98),"","("&amp;""""&amp;SUBSTITUTE(H98,"
",""""&amp;","&amp;"""")&amp;""""&amp;")")</f>
        <v/>
      </c>
    </row>
    <row r="99" spans="2:15">
      <c r="B99" s="24" t="s"/>
      <c r="C99" s="24" t="s"/>
      <c r="M99" s="6" t="str">
        <f>="(X="&amp;D99&amp;",Y="&amp;E99&amp;")"</f>
        <v>(X=,Y=)</v>
      </c>
      <c r="N99" s="6" t="str">
        <f>="(X="&amp;F99&amp;",Y="&amp;G99&amp;")"</f>
        <v>(X=,Y=)</v>
      </c>
      <c r="O99" s="4" t="str">
        <f>=IF(ISBLANK(H99),"","("&amp;""""&amp;SUBSTITUTE(H99,"
",""""&amp;","&amp;"""")&amp;""""&amp;")")</f>
        <v/>
      </c>
    </row>
    <row r="100" spans="2:15">
      <c r="B100" s="24" t="s"/>
      <c r="C100" s="24" t="s"/>
      <c r="M100" s="6" t="str">
        <f>="(X="&amp;D100&amp;",Y="&amp;E100&amp;")"</f>
        <v>(X=,Y=)</v>
      </c>
      <c r="N100" s="6" t="str">
        <f>="(X="&amp;F100&amp;",Y="&amp;G100&amp;")"</f>
        <v>(X=,Y=)</v>
      </c>
      <c r="O100" s="4" t="str">
        <f>=IF(ISBLANK(H100),"","("&amp;""""&amp;SUBSTITUTE(H100,"
",""""&amp;","&amp;"""")&amp;""""&amp;")")</f>
        <v/>
      </c>
    </row>
    <row r="101" spans="2:15">
      <c r="B101" s="24" t="s"/>
      <c r="C101" s="24" t="s"/>
      <c r="M101" s="6" t="str">
        <f>="(X="&amp;D101&amp;",Y="&amp;E101&amp;")"</f>
        <v>(X=,Y=)</v>
      </c>
      <c r="N101" s="6" t="str">
        <f>="(X="&amp;F101&amp;",Y="&amp;G101&amp;")"</f>
        <v>(X=,Y=)</v>
      </c>
      <c r="O101" s="4" t="str">
        <f>=IF(ISBLANK(H101),"","("&amp;""""&amp;SUBSTITUTE(H101,"
",""""&amp;","&amp;"""")&amp;""""&amp;")")</f>
        <v/>
      </c>
    </row>
    <row r="102" spans="2:15">
      <c r="B102" s="24" t="s"/>
      <c r="C102" s="24" t="s"/>
      <c r="M102" s="6" t="str">
        <f>="(X="&amp;D102&amp;",Y="&amp;E102&amp;")"</f>
        <v>(X=,Y=)</v>
      </c>
      <c r="N102" s="6" t="str">
        <f>="(X="&amp;F102&amp;",Y="&amp;G102&amp;")"</f>
        <v>(X=,Y=)</v>
      </c>
      <c r="O102" s="4" t="str">
        <f>=IF(ISBLANK(H102),"","("&amp;""""&amp;SUBSTITUTE(H102,"
",""""&amp;","&amp;"""")&amp;""""&amp;")")</f>
        <v/>
      </c>
    </row>
    <row r="103" spans="2:15">
      <c r="B103" s="24" t="s"/>
      <c r="C103" s="24" t="s"/>
      <c r="O103" s="4" t="str">
        <f>=IF(ISBLANK(H103),"","("&amp;""""&amp;SUBSTITUTE(H103,"
",""""&amp;","&amp;"""")&amp;""""&amp;")")</f>
        <v/>
      </c>
    </row>
    <row r="104" spans="2:15">
      <c r="B104" s="24" t="s"/>
      <c r="C104" s="24" t="s"/>
      <c r="O104" s="4" t="str">
        <f>=IF(ISBLANK(H104),"","("&amp;""""&amp;SUBSTITUTE(H104,"
",""""&amp;","&amp;"""")&amp;""""&amp;")")</f>
        <v/>
      </c>
    </row>
    <row r="105" spans="2:15">
      <c r="B105" s="24" t="s"/>
      <c r="C105" s="24" t="s"/>
      <c r="O105" s="4" t="str">
        <f>=IF(ISBLANK(H105),"","("&amp;""""&amp;SUBSTITUTE(H105,"
",""""&amp;","&amp;"""")&amp;""""&amp;")")</f>
        <v/>
      </c>
    </row>
    <row r="106" spans="2:15">
      <c r="B106" s="24" t="s"/>
      <c r="C106" s="24" t="s"/>
      <c r="O106" s="4" t="str">
        <f>=IF(ISBLANK(H106),"","("&amp;""""&amp;SUBSTITUTE(H106,"
",""""&amp;","&amp;"""")&amp;""""&amp;")")</f>
        <v/>
      </c>
    </row>
    <row r="107" spans="2:15">
      <c r="B107" s="24" t="s"/>
      <c r="C107" s="24" t="s"/>
      <c r="O107" s="4" t="str">
        <f>=IF(ISBLANK(H107),"","("&amp;""""&amp;SUBSTITUTE(H107,"
",""""&amp;","&amp;"""")&amp;""""&amp;")")</f>
        <v/>
      </c>
    </row>
    <row r="108" spans="2:15">
      <c r="B108" s="24" t="s"/>
      <c r="C108" s="24" t="s"/>
      <c r="O108" s="4" t="str">
        <f>=IF(ISBLANK(H108),"","("&amp;""""&amp;SUBSTITUTE(H108,"
",""""&amp;","&amp;"""")&amp;""""&amp;")")</f>
        <v/>
      </c>
    </row>
    <row r="109" spans="2:15">
      <c r="B109" s="24" t="s"/>
      <c r="C109" s="24" t="s"/>
      <c r="O109" s="4" t="str">
        <f>=IF(ISBLANK(H109),"","("&amp;""""&amp;SUBSTITUTE(H109,"
",""""&amp;","&amp;"""")&amp;""""&amp;")")</f>
        <v/>
      </c>
    </row>
    <row r="110" spans="2:15">
      <c r="B110" s="24" t="s"/>
      <c r="C110" s="24" t="s"/>
      <c r="O110" s="4" t="str">
        <f>=IF(ISBLANK(H110),"","("&amp;""""&amp;SUBSTITUTE(H110,"
",""""&amp;","&amp;"""")&amp;""""&amp;")")</f>
        <v/>
      </c>
    </row>
    <row r="111" spans="2:15">
      <c r="B111" s="24" t="s"/>
      <c r="C111" s="24" t="s"/>
      <c r="O111" s="4" t="str">
        <f>=IF(ISBLANK(H111),"","("&amp;""""&amp;SUBSTITUTE(H111,"
",""""&amp;","&amp;"""")&amp;""""&amp;")")</f>
        <v/>
      </c>
    </row>
    <row r="112" spans="2:3">
      <c r="B112" s="24" t="s"/>
      <c r="C112" s="24" t="s"/>
    </row>
    <row r="113" spans="2:3">
      <c r="B113" s="24" t="s"/>
      <c r="C113" s="24" t="s"/>
    </row>
    <row r="114" spans="2:3">
      <c r="B114" s="24" t="s"/>
      <c r="C114" s="24" t="s"/>
    </row>
    <row r="115" spans="2:3">
      <c r="B115" s="24" t="s"/>
      <c r="C115" s="24" t="s"/>
    </row>
    <row r="116" spans="2:3">
      <c r="B116" s="24" t="s"/>
      <c r="C116" s="24" t="s"/>
    </row>
    <row r="117" spans="2:3">
      <c r="B117" s="24" t="s"/>
      <c r="C117" s="24" t="s"/>
    </row>
    <row r="118" spans="2:3">
      <c r="B118" s="24" t="s"/>
      <c r="C118" s="24" t="s"/>
    </row>
    <row r="119" spans="2:3">
      <c r="B119" s="24" t="s"/>
      <c r="C119" s="24" t="s"/>
    </row>
    <row r="120" spans="2:3">
      <c r="B120" s="24" t="s"/>
      <c r="C120" s="24" t="s"/>
    </row>
    <row r="121" spans="2:3">
      <c r="B121" s="24" t="s"/>
      <c r="C121" s="24" t="s"/>
    </row>
    <row r="122" spans="2:3">
      <c r="B122" s="24" t="s"/>
      <c r="C122" s="24" t="s"/>
    </row>
    <row r="123" spans="2:3">
      <c r="B123" s="24" t="s"/>
      <c r="C123" s="24" t="s"/>
    </row>
    <row r="124" spans="2:3">
      <c r="B124" s="24" t="s"/>
      <c r="C124" s="24" t="s"/>
    </row>
    <row r="125" spans="2:3">
      <c r="B125" s="24" t="s"/>
      <c r="C125" s="24" t="s"/>
    </row>
    <row r="126" spans="2:3">
      <c r="B126" s="24" t="s"/>
      <c r="C126" s="24" t="s"/>
    </row>
    <row r="127" spans="2:3">
      <c r="B127" s="24" t="s"/>
      <c r="C127" s="24" t="s"/>
    </row>
    <row r="128" spans="2:3">
      <c r="B128" s="24" t="s"/>
      <c r="C128" s="24" t="s"/>
    </row>
    <row r="129" spans="2:3">
      <c r="B129" s="24" t="s"/>
      <c r="C129" s="24" t="s"/>
    </row>
    <row r="130" spans="2:3">
      <c r="B130" s="24" t="s"/>
      <c r="C130" s="24" t="s"/>
    </row>
    <row r="131" spans="2:3">
      <c r="B131" s="24" t="s"/>
      <c r="C131" s="24" t="s"/>
    </row>
    <row r="132" spans="2:3">
      <c r="B132" s="24" t="s"/>
      <c r="C132" s="24" t="s"/>
    </row>
    <row r="133" spans="2:3">
      <c r="B133" s="24" t="s"/>
      <c r="C133" s="24" t="s"/>
    </row>
    <row r="134" spans="2:3">
      <c r="B134" s="24" t="s"/>
      <c r="C134" s="24" t="s"/>
    </row>
    <row r="135" spans="2:3">
      <c r="B135" s="24" t="s"/>
      <c r="C135" s="24" t="s"/>
    </row>
    <row r="136" spans="2:3">
      <c r="B136" s="24" t="s"/>
      <c r="C136" s="24" t="s"/>
    </row>
    <row r="137" spans="2:3">
      <c r="B137" s="24" t="s"/>
      <c r="C137" s="24" t="s"/>
    </row>
    <row r="138" spans="2:3">
      <c r="B138" s="24" t="s"/>
      <c r="C138" s="24" t="s"/>
    </row>
    <row r="139" spans="2:3">
      <c r="B139" s="24" t="s"/>
      <c r="C139" s="24" t="s"/>
    </row>
    <row r="140" spans="2:3">
      <c r="B140" s="24" t="s"/>
      <c r="C140" s="24" t="s"/>
    </row>
    <row r="141" spans="2:3">
      <c r="B141" s="24" t="s"/>
      <c r="C141" s="24" t="s"/>
    </row>
    <row r="142" spans="2:3">
      <c r="B142" s="24" t="s"/>
      <c r="C142" s="24" t="s"/>
    </row>
    <row r="143" spans="2:3">
      <c r="B143" s="24" t="s"/>
      <c r="C143" s="24" t="s"/>
    </row>
    <row r="144" spans="2:3">
      <c r="B144" s="24" t="s"/>
      <c r="C144" s="24" t="s"/>
    </row>
    <row r="145" spans="2:3">
      <c r="B145" s="24" t="s"/>
      <c r="C145" s="24" t="s"/>
    </row>
    <row r="146" spans="2:3">
      <c r="B146" s="24" t="s"/>
      <c r="C146" s="24" t="s"/>
    </row>
    <row r="147" spans="2:3">
      <c r="B147" s="24" t="s"/>
      <c r="C147" s="24" t="s"/>
    </row>
    <row r="148" spans="2:3">
      <c r="B148" s="24" t="s"/>
      <c r="C148" s="24" t="s"/>
    </row>
    <row r="149" spans="2:3">
      <c r="B149" s="24" t="s"/>
      <c r="C149" s="24" t="s"/>
    </row>
    <row r="150" spans="2:3">
      <c r="B150" s="24" t="s"/>
      <c r="C150" s="24" t="s"/>
    </row>
    <row r="151" spans="2:3">
      <c r="B151" s="24" t="s"/>
      <c r="C151" s="24" t="s"/>
    </row>
    <row r="152" spans="2:3">
      <c r="B152" s="24" t="s"/>
      <c r="C152" s="24" t="s"/>
    </row>
    <row r="153" spans="2:3">
      <c r="B153" s="24" t="s"/>
      <c r="C153" s="24" t="s"/>
    </row>
    <row r="154" spans="2:3">
      <c r="B154" s="24" t="s"/>
      <c r="C154" s="24" t="s"/>
    </row>
    <row r="155" spans="2:3">
      <c r="B155" s="24" t="s"/>
      <c r="C155" s="24" t="s"/>
    </row>
    <row r="156" spans="2:3">
      <c r="B156" s="24" t="s"/>
      <c r="C156" s="24" t="s"/>
    </row>
    <row r="157" spans="2:3">
      <c r="B157" s="24" t="s"/>
      <c r="C157" s="24" t="s"/>
    </row>
    <row r="158" spans="2:3">
      <c r="B158" s="24" t="s"/>
      <c r="C158" s="24" t="s"/>
    </row>
    <row r="159" spans="2:3">
      <c r="B159" s="24" t="s"/>
      <c r="C159" s="24" t="s"/>
    </row>
    <row r="160" spans="2:3">
      <c r="B160" s="24" t="s"/>
      <c r="C160" s="24" t="s"/>
    </row>
    <row r="161" spans="2:3">
      <c r="B161" s="24" t="s"/>
      <c r="C161" s="24" t="s"/>
    </row>
    <row r="162" spans="2:3">
      <c r="B162" s="24" t="s"/>
      <c r="C162" s="24" t="s"/>
    </row>
    <row r="163" spans="2:3">
      <c r="B163" s="24" t="s"/>
      <c r="C163" s="24" t="s"/>
    </row>
    <row r="164" spans="2:3">
      <c r="B164" s="24" t="s"/>
      <c r="C164" s="24" t="s"/>
    </row>
    <row r="165" spans="2:3">
      <c r="B165" s="24" t="s"/>
      <c r="C165" s="24" t="s"/>
    </row>
    <row r="166" spans="2:3">
      <c r="B166" s="24" t="s"/>
      <c r="C166" s="24" t="s"/>
    </row>
    <row r="167" spans="2:3">
      <c r="B167" s="24" t="s"/>
      <c r="C167" s="24" t="s"/>
    </row>
    <row r="168" spans="2:3">
      <c r="B168" s="24" t="s"/>
      <c r="C168" s="24" t="s"/>
    </row>
    <row r="169" spans="2:3">
      <c r="B169" s="24" t="s"/>
      <c r="C169" s="24" t="s"/>
    </row>
    <row r="170" spans="2:3">
      <c r="B170" s="24" t="s"/>
      <c r="C170" s="24" t="s"/>
    </row>
    <row r="171" spans="2:3">
      <c r="B171" s="24" t="s"/>
      <c r="C171" s="24" t="s"/>
    </row>
    <row r="172" spans="2:3">
      <c r="B172" s="24" t="s"/>
      <c r="C172" s="24" t="s"/>
    </row>
    <row r="173" spans="2:3">
      <c r="B173" s="24" t="s"/>
      <c r="C173" s="24" t="s"/>
    </row>
    <row r="174" spans="2:3">
      <c r="B174" s="24" t="s"/>
      <c r="C174" s="24" t="s"/>
    </row>
    <row r="175" spans="2:3">
      <c r="B175" s="24" t="s"/>
      <c r="C175" s="24" t="s"/>
    </row>
    <row r="176" spans="2:3">
      <c r="B176" s="24" t="s"/>
      <c r="C176" s="24" t="s"/>
    </row>
    <row r="177" spans="2:3">
      <c r="B177" s="24" t="s"/>
      <c r="C177" s="24" t="s"/>
    </row>
    <row r="178" spans="2:3">
      <c r="B178" s="24" t="s"/>
      <c r="C178" s="24" t="s"/>
    </row>
    <row r="179" spans="2:3">
      <c r="B179" s="24" t="s"/>
      <c r="C179" s="24" t="s"/>
    </row>
    <row r="180" spans="2:3">
      <c r="B180" s="24" t="s"/>
      <c r="C180" s="24" t="s"/>
    </row>
    <row r="181" spans="2:3">
      <c r="B181" s="24" t="s"/>
      <c r="C181" s="24" t="s"/>
    </row>
    <row r="182" spans="2:3">
      <c r="B182" s="24" t="s"/>
      <c r="C182" s="24" t="s"/>
    </row>
    <row r="183" spans="2:3">
      <c r="B183" s="24" t="s"/>
      <c r="C183" s="24" t="s"/>
    </row>
    <row r="184" spans="2:3">
      <c r="B184" s="24" t="s"/>
      <c r="C184" s="24" t="s"/>
    </row>
    <row r="185" spans="2:3">
      <c r="B185" s="24" t="s"/>
      <c r="C185" s="24" t="s"/>
    </row>
    <row r="186" spans="2:3">
      <c r="B186" s="24" t="s"/>
      <c r="C186" s="24" t="s"/>
    </row>
    <row r="187" spans="2:3">
      <c r="B187" s="24" t="s"/>
      <c r="C187" s="24" t="s"/>
    </row>
    <row r="188" spans="2:3">
      <c r="B188" s="24" t="s"/>
      <c r="C188" s="24" t="s"/>
    </row>
    <row r="189" spans="2:3">
      <c r="B189" s="24" t="s"/>
      <c r="C189" s="24" t="s"/>
    </row>
    <row r="190" spans="2:3">
      <c r="B190" s="24" t="s"/>
      <c r="C190" s="24" t="s"/>
    </row>
    <row r="191" spans="2:3">
      <c r="B191" s="24" t="s"/>
      <c r="C191" s="24" t="s"/>
    </row>
    <row r="192" spans="2:3">
      <c r="B192" s="24" t="s"/>
      <c r="C192" s="24" t="s"/>
    </row>
    <row r="193" spans="2:3">
      <c r="B193" s="24" t="s"/>
      <c r="C193" s="24" t="s"/>
    </row>
    <row r="194" spans="2:3">
      <c r="B194" s="24" t="s"/>
      <c r="C194" s="24" t="s"/>
    </row>
    <row r="195" spans="2:3">
      <c r="B195" s="24" t="s"/>
      <c r="C195" s="24" t="s"/>
    </row>
    <row r="196" spans="2:3">
      <c r="B196" s="24" t="s"/>
      <c r="C196" s="24" t="s"/>
    </row>
    <row r="197" spans="2:3">
      <c r="B197" s="24" t="s"/>
      <c r="C197" s="24" t="s"/>
    </row>
    <row r="198" spans="2:3">
      <c r="B198" s="24" t="s"/>
      <c r="C198" s="24" t="s"/>
    </row>
    <row r="199" spans="2:3">
      <c r="B199" s="24" t="s"/>
      <c r="C199" s="24" t="s"/>
    </row>
    <row r="200" spans="2:3">
      <c r="B200" s="24" t="s"/>
      <c r="C200" s="24" t="s"/>
    </row>
  </sheetData>
  <dataValidations>
    <dataValidation type="list" errorStyle="stop" operator="between" allowBlank="1" showDropDown="0" showInputMessage="1" showErrorMessage="1" prompt="" sqref="B2:B200">
      <formula1>地图!$A:$A</formula1>
    </dataValidation>
    <dataValidation type="list" errorStyle="stop" operator="between" allowBlank="1" showDropDown="0" showInputMessage="1" showErrorMessage="1" prompt="" sqref="C2:C200">
      <formula1>立绘!$A:$A</formula1>
    </dataValidation>
  </dataValidations>
</worksheet>
</file>

<file path=xl/worksheets/sheet6.xml><?xml version="1.0" encoding="utf-8"?>
<worksheet xmlns="http://schemas.openxmlformats.org/spreadsheetml/2006/main">
  <sheetPr codeName="选项(事件)">
    <tabColor/>
  </sheetPr>
  <dimension ref="K200"/>
  <sheetViews>
    <sheetView showGridLines="1" workbookViewId="0"/>
  </sheetViews>
  <sheetFormatPr baseColWidth="13" defaultRowHeight="18" customHeight="1"/>
  <cols>
    <col min="1" max="1" width="24.1406" style="73" customWidth="1"/>
    <col min="2" max="3" width="23.7422" style="73" customWidth="1"/>
    <col min="4" max="4" width="26.3008" style="73" customWidth="1"/>
    <col min="5" max="5" width="18.0742" style="73" customWidth="1"/>
    <col min="6" max="7" width="26.3008" style="73" customWidth="1"/>
    <col min="8" max="8" width="25.7617" style="75" customWidth="1"/>
    <col min="9" max="9" width="28.1914" style="75" customWidth="1"/>
    <col min="10" max="10" width="29.9414" style="75" customWidth="1"/>
    <col min="11" max="11" width="29.9414" style="75" customWidth="1"/>
  </cols>
  <sheetData>
    <row r="1" spans="2:11">
      <c r="B1" s="8" t="s">
        <v>303</v>
      </c>
      <c r="C1" s="8" t="s">
        <v>304</v>
      </c>
      <c r="D1" s="8" t="s">
        <v>305</v>
      </c>
      <c r="E1" s="8" t="s">
        <v>115</v>
      </c>
      <c r="F1" s="8" t="s">
        <v>119</v>
      </c>
      <c r="G1" s="8" t="s">
        <v>120</v>
      </c>
      <c r="H1" s="6" t="s">
        <v>306</v>
      </c>
      <c r="I1" s="6" t="s">
        <v>307</v>
      </c>
      <c r="J1" s="6" t="s">
        <v>308</v>
      </c>
      <c r="K1" s="6" t="s">
        <v>309</v>
      </c>
    </row>
    <row r="2" spans="1:11">
      <c r="A2" s="8" t="s">
        <v>377</v>
      </c>
      <c r="B2" s="8" t="s"/>
      <c r="C2" s="8" t="s"/>
      <c r="D2" s="8" t="s"/>
      <c r="F2" s="8" t="s"/>
      <c r="G2" s="8" t="s"/>
      <c r="H2" s="6" t="str">
        <f>=IF(ISBLANK(B2),"","("&amp;""""&amp;SUBSTITUTE(B2,"
",""""&amp;","&amp;"""")&amp;""""&amp;")")</f>
        <v/>
      </c>
      <c r="I2" s="6" t="str">
        <f>=IF(ISBLANK(C2),"","("&amp;""""&amp;SUBSTITUTE(C2,"
",""""&amp;","&amp;"""")&amp;""""&amp;")")</f>
        <v/>
      </c>
      <c r="J2" s="6" t="str">
        <f>=IF(ISBLANK(D2),"","("&amp;""""&amp;SUBSTITUTE(D2,"
",""""&amp;","&amp;"""")&amp;""""&amp;")")</f>
        <v/>
      </c>
      <c r="K2" s="6" t="str">
        <f>=A2</f>
        <v>选项ID-A</v>
      </c>
    </row>
    <row r="3" spans="1:11">
      <c r="A3" s="8" t="s">
        <v>378</v>
      </c>
      <c r="B3" s="26" t="s"/>
      <c r="C3" s="26" t="s"/>
      <c r="D3" s="26" t="s"/>
      <c r="F3" s="26" t="s"/>
      <c r="G3" s="26" t="s"/>
      <c r="H3" s="6" t="str">
        <f>=IF(ISBLANK(B3),"","("&amp;""""&amp;SUBSTITUTE(B3,"
",""""&amp;","&amp;"""")&amp;""""&amp;")")</f>
        <v/>
      </c>
      <c r="I3" s="6" t="str">
        <f>=IF(ISBLANK(C3),"","("&amp;""""&amp;SUBSTITUTE(C3,"
",""""&amp;","&amp;"""")&amp;""""&amp;")")</f>
        <v/>
      </c>
      <c r="J3" s="6" t="str">
        <f>=IF(ISBLANK(D3),"","("&amp;""""&amp;SUBSTITUTE(D3,"
",""""&amp;","&amp;"""")&amp;""""&amp;")")</f>
        <v/>
      </c>
      <c r="K3" s="6" t="str">
        <f>=A3</f>
        <v>选项ID-B</v>
      </c>
    </row>
    <row r="4" spans="1:11">
      <c r="A4" s="8" t="s">
        <v>379</v>
      </c>
      <c r="B4" s="8" t="s"/>
      <c r="C4" s="8" t="s"/>
      <c r="D4" s="8" t="s"/>
      <c r="F4" s="8" t="s"/>
      <c r="G4" s="8" t="s"/>
      <c r="H4" s="6" t="str">
        <f>=IF(ISBLANK(B4),"","("&amp;""""&amp;SUBSTITUTE(B4,"
",""""&amp;","&amp;"""")&amp;""""&amp;")")</f>
        <v/>
      </c>
      <c r="I4" s="6" t="str">
        <f>=IF(ISBLANK(C4),"","("&amp;""""&amp;SUBSTITUTE(C4,"
",""""&amp;","&amp;"""")&amp;""""&amp;")")</f>
        <v/>
      </c>
      <c r="J4" s="6" t="str">
        <f>=IF(ISBLANK(D4),"","("&amp;""""&amp;SUBSTITUTE(D4,"
",""""&amp;","&amp;"""")&amp;""""&amp;")")</f>
        <v/>
      </c>
      <c r="K4" s="6" t="str">
        <f>=A4</f>
        <v>选项ID-C</v>
      </c>
    </row>
    <row r="5" spans="2:11">
      <c r="B5" s="8" t="s"/>
      <c r="C5" s="8" t="s"/>
      <c r="D5" s="8" t="s"/>
      <c r="E5" s="26" t="s"/>
      <c r="F5" s="26" t="s"/>
      <c r="G5" s="26" t="s"/>
      <c r="H5" s="6" t="str">
        <f>=IF(ISBLANK(B5),"","("&amp;""""&amp;SUBSTITUTE(B5,"
",""""&amp;","&amp;"""")&amp;""""&amp;")")</f>
        <v/>
      </c>
      <c r="I5" s="6" t="str">
        <f>=IF(ISBLANK(C5),"","("&amp;""""&amp;SUBSTITUTE(C5,"
",""""&amp;","&amp;"""")&amp;""""&amp;")")</f>
        <v/>
      </c>
      <c r="J5" s="6" t="str">
        <f>=IF(ISBLANK(D5),"","("&amp;""""&amp;SUBSTITUTE(D5,"
",""""&amp;","&amp;"""")&amp;""""&amp;")")</f>
        <v/>
      </c>
      <c r="K5" s="6">
        <f>=A5</f>
        <v>0</v>
      </c>
    </row>
    <row r="6" spans="1:11">
      <c r="A6" s="8" t="s">
        <v>380</v>
      </c>
      <c r="B6" s="27" t="s">
        <v>364</v>
      </c>
      <c r="C6" s="27" t="s">
        <v>381</v>
      </c>
      <c r="D6" s="27" t="s">
        <v>382</v>
      </c>
      <c r="E6" s="8" t="s">
        <v>383</v>
      </c>
      <c r="F6" s="32" t="s">
        <v>384</v>
      </c>
      <c r="G6" s="32" t="s">
        <v>385</v>
      </c>
      <c r="H6" s="6" t="str">
        <f>=IF(ISBLANK(B6),"","("&amp;""""&amp;SUBSTITUTE(B6,"
",""""&amp;","&amp;"""")&amp;""""&amp;")")</f>
        <v>("背包#Item_Coin&gt;0")</v>
      </c>
      <c r="I6" s="6" t="str">
        <f>=IF(ISBLANK(C6),"","("&amp;""""&amp;SUBSTITUTE(C6,"
",""""&amp;","&amp;"""")&amp;""""&amp;")")</f>
        <v>("背包#Item_Coin&gt;=10")</v>
      </c>
      <c r="J6" s="6" t="str">
        <f>=IF(ISBLANK(D6),"","("&amp;""""&amp;SUBSTITUTE(D6,"
",""""&amp;","&amp;"""")&amp;""""&amp;")")</f>
        <v>("背包# Item_Coin-10")</v>
      </c>
      <c r="K6" s="6" t="str">
        <f>=A6</f>
        <v>OPT_Test_001</v>
      </c>
    </row>
    <row r="7" spans="1:11">
      <c r="A7" s="8" t="s">
        <v>388</v>
      </c>
      <c r="B7" s="27" t="s">
        <v>381</v>
      </c>
      <c r="C7" s="27" t="s">
        <v>389</v>
      </c>
      <c r="D7" s="27" t="s">
        <v>83</v>
      </c>
      <c r="E7" s="8" t="s">
        <v>390</v>
      </c>
      <c r="F7" s="32" t="s">
        <v>391</v>
      </c>
      <c r="G7" s="32" t="s">
        <v>392</v>
      </c>
      <c r="H7" s="6" t="str">
        <f>=IF(ISBLANK(B7),"","("&amp;""""&amp;SUBSTITUTE(B7,"
",""""&amp;","&amp;"""")&amp;""""&amp;")")</f>
        <v>("背包#Item_Coin&gt;=10")</v>
      </c>
      <c r="I7" s="6" t="str">
        <f>=IF(ISBLANK(C7),"","("&amp;""""&amp;SUBSTITUTE(C7,"
",""""&amp;","&amp;"""")&amp;""""&amp;")")</f>
        <v>("背包#Item_Coin&gt;=100")</v>
      </c>
      <c r="J7" s="6" t="str">
        <f>=IF(ISBLANK(D7),"","("&amp;""""&amp;SUBSTITUTE(D7,"
",""""&amp;","&amp;"""")&amp;""""&amp;")")</f>
        <v>("背包# Item_Coin-100")</v>
      </c>
      <c r="K7" s="6" t="str">
        <f>=A7</f>
        <v>OPT_Test_002</v>
      </c>
    </row>
    <row r="8" spans="1:11">
      <c r="A8" s="8" t="s">
        <v>395</v>
      </c>
      <c r="B8" s="27" t="s">
        <v>389</v>
      </c>
      <c r="C8" s="27" t="s">
        <v>396</v>
      </c>
      <c r="D8" s="27" t="s">
        <v>397</v>
      </c>
      <c r="E8" s="26" t="s">
        <v>398</v>
      </c>
      <c r="F8" s="30" t="s">
        <v>399</v>
      </c>
      <c r="G8" s="30" t="s">
        <v>400</v>
      </c>
      <c r="H8" s="6" t="str">
        <f>=IF(ISBLANK(B8),"","("&amp;""""&amp;SUBSTITUTE(B8,"
",""""&amp;","&amp;"""")&amp;""""&amp;")")</f>
        <v>("背包#Item_Coin&gt;=100")</v>
      </c>
      <c r="I8" s="6" t="str">
        <f>=IF(ISBLANK(C8),"","("&amp;""""&amp;SUBSTITUTE(C8,"
",""""&amp;","&amp;"""")&amp;""""&amp;")")</f>
        <v>("背包#Item_Coin&gt;=1000")</v>
      </c>
      <c r="J8" s="6" t="str">
        <f>=IF(ISBLANK(D8),"","("&amp;""""&amp;SUBSTITUTE(D8,"
",""""&amp;","&amp;"""")&amp;""""&amp;")")</f>
        <v>("背包# Item_Coin-1000")</v>
      </c>
      <c r="K8" s="6" t="str">
        <f>=A8</f>
        <v>OPT_Test_003</v>
      </c>
    </row>
    <row r="9" spans="1:11">
      <c r="A9" s="8" t="s">
        <v>370</v>
      </c>
      <c r="B9" s="8" t="s"/>
      <c r="C9" s="8" t="s"/>
      <c r="D9" s="23" t="s">
        <v>403</v>
      </c>
      <c r="E9" s="8" t="s">
        <v>404</v>
      </c>
      <c r="F9" s="32" t="s"/>
      <c r="G9" s="32" t="s"/>
      <c r="H9" s="6" t="str">
        <f>=IF(ISBLANK(B9),"","("&amp;""""&amp;SUBSTITUTE(B9,"
",""""&amp;","&amp;"""")&amp;""""&amp;")")</f>
        <v/>
      </c>
      <c r="I9" s="6" t="str">
        <f>=IF(ISBLANK(C9),"","("&amp;""""&amp;SUBSTITUTE(C9,"
",""""&amp;","&amp;"""")&amp;""""&amp;")")</f>
        <v/>
      </c>
      <c r="J9" s="6" t="str">
        <f>=IF(ISBLANK(D9),"","("&amp;""""&amp;SUBSTITUTE(D9,"
",""""&amp;","&amp;"""")&amp;""""&amp;")")</f>
        <v>("背包# Item_Test_01+10","背包# Item_Test_02+10","背包# Item_Test_03+10","背包# Item_Test_04+10","背包# Item_Test_05+10","背包# Item_Test_06+10","背包# Item_Test_07+10")</v>
      </c>
      <c r="K9" s="6" t="str">
        <f>=A9</f>
        <v>OPT_Test_004</v>
      </c>
    </row>
    <row r="10" spans="2:11">
      <c r="B10" s="8" t="s"/>
      <c r="C10" s="8" t="s"/>
      <c r="D10" s="8" t="s"/>
      <c r="E10" s="8" t="s"/>
      <c r="F10" s="8" t="s"/>
      <c r="G10" s="8" t="s"/>
      <c r="H10" s="6" t="str">
        <f>=IF(ISBLANK(B10),"","("&amp;""""&amp;SUBSTITUTE(B10,"
",""""&amp;","&amp;"""")&amp;""""&amp;")")</f>
        <v/>
      </c>
      <c r="I10" s="6" t="str">
        <f>=IF(ISBLANK(C10),"","("&amp;""""&amp;SUBSTITUTE(C10,"
",""""&amp;","&amp;"""")&amp;""""&amp;")")</f>
        <v/>
      </c>
      <c r="J10" s="6" t="str">
        <f>=IF(ISBLANK(D10),"","("&amp;""""&amp;SUBSTITUTE(D10,"
",""""&amp;","&amp;"""")&amp;""""&amp;")")</f>
        <v/>
      </c>
      <c r="K10" s="6">
        <f>=A10</f>
        <v>0</v>
      </c>
    </row>
    <row r="11" spans="2:11">
      <c r="B11" s="8" t="s"/>
      <c r="C11" s="8" t="s"/>
      <c r="D11" s="8" t="s"/>
      <c r="F11" s="8" t="s"/>
      <c r="G11" s="8" t="s"/>
      <c r="H11" s="6" t="str">
        <f>=IF(ISBLANK(B11),"","("&amp;""""&amp;SUBSTITUTE(B11,"
",""""&amp;","&amp;"""")&amp;""""&amp;")")</f>
        <v/>
      </c>
      <c r="I11" s="6" t="str">
        <f>=IF(ISBLANK(C11),"","("&amp;""""&amp;SUBSTITUTE(C11,"
",""""&amp;","&amp;"""")&amp;""""&amp;")")</f>
        <v/>
      </c>
      <c r="J11" s="6" t="str">
        <f>=IF(ISBLANK(D11),"","("&amp;""""&amp;SUBSTITUTE(D11,"
",""""&amp;","&amp;"""")&amp;""""&amp;")")</f>
        <v/>
      </c>
      <c r="K11" s="6">
        <f>=A11</f>
        <v>0</v>
      </c>
    </row>
    <row r="12" spans="2:11">
      <c r="B12" s="8" t="s"/>
      <c r="C12" s="8" t="s"/>
      <c r="D12" s="8" t="s"/>
      <c r="F12" s="8" t="s"/>
      <c r="G12" s="8" t="s"/>
      <c r="H12" s="6" t="str">
        <f>=IF(ISBLANK(B12),"","("&amp;""""&amp;SUBSTITUTE(B12,"
",""""&amp;","&amp;"""")&amp;""""&amp;")")</f>
        <v/>
      </c>
      <c r="I12" s="6" t="str">
        <f>=IF(ISBLANK(C12),"","("&amp;""""&amp;SUBSTITUTE(C12,"
",""""&amp;","&amp;"""")&amp;""""&amp;")")</f>
        <v/>
      </c>
      <c r="J12" s="6" t="str">
        <f>=IF(ISBLANK(D12),"","("&amp;""""&amp;SUBSTITUTE(D12,"
",""""&amp;","&amp;"""")&amp;""""&amp;")")</f>
        <v/>
      </c>
      <c r="K12" s="6">
        <f>=A12</f>
        <v>0</v>
      </c>
    </row>
    <row r="13" spans="2:11">
      <c r="B13" s="8" t="s"/>
      <c r="C13" s="8" t="s"/>
      <c r="D13" s="8" t="s"/>
      <c r="F13" s="8" t="s"/>
      <c r="G13" s="8" t="s"/>
      <c r="H13" s="6" t="str">
        <f>=IF(ISBLANK(B13),"","("&amp;""""&amp;SUBSTITUTE(B13,"
",""""&amp;","&amp;"""")&amp;""""&amp;")")</f>
        <v/>
      </c>
      <c r="I13" s="6" t="str">
        <f>=IF(ISBLANK(C13),"","("&amp;""""&amp;SUBSTITUTE(C13,"
",""""&amp;","&amp;"""")&amp;""""&amp;")")</f>
        <v/>
      </c>
      <c r="J13" s="6" t="str">
        <f>=IF(ISBLANK(D13),"","("&amp;""""&amp;SUBSTITUTE(D13,"
",""""&amp;","&amp;"""")&amp;""""&amp;")")</f>
        <v/>
      </c>
      <c r="K13" s="6">
        <f>=A13</f>
        <v>0</v>
      </c>
    </row>
    <row r="14" spans="2:11">
      <c r="B14" s="8" t="s"/>
      <c r="C14" s="8" t="s"/>
      <c r="D14" s="8" t="s"/>
      <c r="F14" s="8" t="s"/>
      <c r="G14" s="8" t="s"/>
      <c r="H14" s="6" t="str">
        <f>=IF(ISBLANK(B14),"","("&amp;""""&amp;SUBSTITUTE(B14,"
",""""&amp;","&amp;"""")&amp;""""&amp;")")</f>
        <v/>
      </c>
      <c r="I14" s="6" t="str">
        <f>=IF(ISBLANK(C14),"","("&amp;""""&amp;SUBSTITUTE(C14,"
",""""&amp;","&amp;"""")&amp;""""&amp;")")</f>
        <v/>
      </c>
      <c r="J14" s="6" t="str">
        <f>=IF(ISBLANK(D14),"","("&amp;""""&amp;SUBSTITUTE(D14,"
",""""&amp;","&amp;"""")&amp;""""&amp;")")</f>
        <v/>
      </c>
      <c r="K14" s="6">
        <f>=A14</f>
        <v>0</v>
      </c>
    </row>
    <row r="15" spans="2:11">
      <c r="B15" s="8" t="s"/>
      <c r="C15" s="8" t="s"/>
      <c r="D15" s="8" t="s"/>
      <c r="F15" s="8" t="s"/>
      <c r="G15" s="8" t="s"/>
      <c r="H15" s="6" t="str">
        <f>=IF(ISBLANK(B15),"","("&amp;""""&amp;SUBSTITUTE(B15,"
",""""&amp;","&amp;"""")&amp;""""&amp;")")</f>
        <v/>
      </c>
      <c r="I15" s="6" t="str">
        <f>=IF(ISBLANK(C15),"","("&amp;""""&amp;SUBSTITUTE(C15,"
",""""&amp;","&amp;"""")&amp;""""&amp;")")</f>
        <v/>
      </c>
      <c r="J15" s="6" t="str">
        <f>=IF(ISBLANK(D15),"","("&amp;""""&amp;SUBSTITUTE(D15,"
",""""&amp;","&amp;"""")&amp;""""&amp;")")</f>
        <v/>
      </c>
      <c r="K15" s="6">
        <f>=A15</f>
        <v>0</v>
      </c>
    </row>
    <row r="16" spans="2:11">
      <c r="B16" s="8" t="s"/>
      <c r="C16" s="8" t="s"/>
      <c r="D16" s="8" t="s"/>
      <c r="F16" s="8" t="s"/>
      <c r="G16" s="8" t="s"/>
      <c r="H16" s="6" t="str">
        <f>=IF(ISBLANK(B16),"","("&amp;""""&amp;SUBSTITUTE(B16,"
",""""&amp;","&amp;"""")&amp;""""&amp;")")</f>
        <v/>
      </c>
      <c r="I16" s="6" t="str">
        <f>=IF(ISBLANK(C16),"","("&amp;""""&amp;SUBSTITUTE(C16,"
",""""&amp;","&amp;"""")&amp;""""&amp;")")</f>
        <v/>
      </c>
      <c r="J16" s="6" t="str">
        <f>=IF(ISBLANK(D16),"","("&amp;""""&amp;SUBSTITUTE(D16,"
",""""&amp;","&amp;"""")&amp;""""&amp;")")</f>
        <v/>
      </c>
      <c r="K16" s="6">
        <f>=A16</f>
        <v>0</v>
      </c>
    </row>
    <row r="17" spans="2:11">
      <c r="B17" s="8" t="s"/>
      <c r="C17" s="8" t="s"/>
      <c r="D17" s="8" t="s"/>
      <c r="F17" s="8" t="s"/>
      <c r="G17" s="8" t="s"/>
      <c r="H17" s="6" t="str">
        <f>=IF(ISBLANK(B17),"","("&amp;""""&amp;SUBSTITUTE(B17,"
",""""&amp;","&amp;"""")&amp;""""&amp;")")</f>
        <v/>
      </c>
      <c r="I17" s="6" t="str">
        <f>=IF(ISBLANK(C17),"","("&amp;""""&amp;SUBSTITUTE(C17,"
",""""&amp;","&amp;"""")&amp;""""&amp;")")</f>
        <v/>
      </c>
      <c r="J17" s="6" t="str">
        <f>=IF(ISBLANK(D17),"","("&amp;""""&amp;SUBSTITUTE(D17,"
",""""&amp;","&amp;"""")&amp;""""&amp;")")</f>
        <v/>
      </c>
      <c r="K17" s="6">
        <f>=A17</f>
        <v>0</v>
      </c>
    </row>
    <row r="18" spans="2:11">
      <c r="B18" s="8" t="s"/>
      <c r="C18" s="8" t="s"/>
      <c r="D18" s="8" t="s"/>
      <c r="F18" s="8" t="s"/>
      <c r="G18" s="8" t="s"/>
      <c r="H18" s="6" t="str">
        <f>=IF(ISBLANK(B18),"","("&amp;""""&amp;SUBSTITUTE(B18,"
",""""&amp;","&amp;"""")&amp;""""&amp;")")</f>
        <v/>
      </c>
      <c r="I18" s="6" t="str">
        <f>=IF(ISBLANK(C18),"","("&amp;""""&amp;SUBSTITUTE(C18,"
",""""&amp;","&amp;"""")&amp;""""&amp;")")</f>
        <v/>
      </c>
      <c r="J18" s="6" t="str">
        <f>=IF(ISBLANK(D18),"","("&amp;""""&amp;SUBSTITUTE(D18,"
",""""&amp;","&amp;"""")&amp;""""&amp;")")</f>
        <v/>
      </c>
      <c r="K18" s="6">
        <f>=A18</f>
        <v>0</v>
      </c>
    </row>
    <row r="19" spans="2:11">
      <c r="B19" s="8" t="s"/>
      <c r="C19" s="8" t="s"/>
      <c r="D19" s="8" t="s"/>
      <c r="F19" s="8" t="s"/>
      <c r="G19" s="8" t="s"/>
      <c r="H19" s="6" t="str">
        <f>=IF(ISBLANK(B19),"","("&amp;""""&amp;SUBSTITUTE(B19,"
",""""&amp;","&amp;"""")&amp;""""&amp;")")</f>
        <v/>
      </c>
      <c r="I19" s="6" t="str">
        <f>=IF(ISBLANK(C19),"","("&amp;""""&amp;SUBSTITUTE(C19,"
",""""&amp;","&amp;"""")&amp;""""&amp;")")</f>
        <v/>
      </c>
      <c r="J19" s="6" t="str">
        <f>=IF(ISBLANK(D19),"","("&amp;""""&amp;SUBSTITUTE(D19,"
",""""&amp;","&amp;"""")&amp;""""&amp;")")</f>
        <v/>
      </c>
      <c r="K19" s="6">
        <f>=A19</f>
        <v>0</v>
      </c>
    </row>
    <row r="20" spans="2:11">
      <c r="B20" s="8" t="s"/>
      <c r="C20" s="8" t="s"/>
      <c r="D20" s="8" t="s"/>
      <c r="F20" s="8" t="s"/>
      <c r="G20" s="8" t="s"/>
      <c r="H20" s="6" t="str">
        <f>=IF(ISBLANK(B20),"","("&amp;""""&amp;SUBSTITUTE(B20,"
",""""&amp;","&amp;"""")&amp;""""&amp;")")</f>
        <v/>
      </c>
      <c r="I20" s="6" t="str">
        <f>=IF(ISBLANK(C20),"","("&amp;""""&amp;SUBSTITUTE(C20,"
",""""&amp;","&amp;"""")&amp;""""&amp;")")</f>
        <v/>
      </c>
      <c r="J20" s="6" t="str">
        <f>=IF(ISBLANK(D20),"","("&amp;""""&amp;SUBSTITUTE(D20,"
",""""&amp;","&amp;"""")&amp;""""&amp;")")</f>
        <v/>
      </c>
      <c r="K20" s="6">
        <f>=A20</f>
        <v>0</v>
      </c>
    </row>
    <row r="21" spans="2:11">
      <c r="B21" s="8" t="s"/>
      <c r="C21" s="8" t="s"/>
      <c r="D21" s="8" t="s"/>
      <c r="F21" s="8" t="s"/>
      <c r="G21" s="8" t="s"/>
      <c r="H21" s="6" t="str">
        <f>=IF(ISBLANK(B21),"","("&amp;""""&amp;SUBSTITUTE(B21,"
",""""&amp;","&amp;"""")&amp;""""&amp;")")</f>
        <v/>
      </c>
      <c r="I21" s="6" t="str">
        <f>=IF(ISBLANK(C21),"","("&amp;""""&amp;SUBSTITUTE(C21,"
",""""&amp;","&amp;"""")&amp;""""&amp;")")</f>
        <v/>
      </c>
      <c r="J21" s="6" t="str">
        <f>=IF(ISBLANK(D21),"","("&amp;""""&amp;SUBSTITUTE(D21,"
",""""&amp;","&amp;"""")&amp;""""&amp;")")</f>
        <v/>
      </c>
      <c r="K21" s="6">
        <f>=A21</f>
        <v>0</v>
      </c>
    </row>
    <row r="22" spans="2:11">
      <c r="B22" s="8" t="s"/>
      <c r="C22" s="8" t="s"/>
      <c r="D22" s="8" t="s"/>
      <c r="F22" s="8" t="s"/>
      <c r="G22" s="8" t="s"/>
      <c r="H22" s="6" t="str">
        <f>=IF(ISBLANK(B22),"","("&amp;""""&amp;SUBSTITUTE(B22,"
",""""&amp;","&amp;"""")&amp;""""&amp;")")</f>
        <v/>
      </c>
      <c r="I22" s="6" t="str">
        <f>=IF(ISBLANK(C22),"","("&amp;""""&amp;SUBSTITUTE(C22,"
",""""&amp;","&amp;"""")&amp;""""&amp;")")</f>
        <v/>
      </c>
      <c r="J22" s="6" t="str">
        <f>=IF(ISBLANK(D22),"","("&amp;""""&amp;SUBSTITUTE(D22,"
",""""&amp;","&amp;"""")&amp;""""&amp;")")</f>
        <v/>
      </c>
      <c r="K22" s="6">
        <f>=A22</f>
        <v>0</v>
      </c>
    </row>
    <row r="23" spans="2:11">
      <c r="B23" s="8" t="s"/>
      <c r="C23" s="8" t="s"/>
      <c r="D23" s="8" t="s"/>
      <c r="F23" s="8" t="s"/>
      <c r="G23" s="8" t="s"/>
      <c r="H23" s="6" t="str">
        <f>=IF(ISBLANK(B23),"","("&amp;""""&amp;SUBSTITUTE(B23,"
",""""&amp;","&amp;"""")&amp;""""&amp;")")</f>
        <v/>
      </c>
      <c r="I23" s="6" t="str">
        <f>=IF(ISBLANK(C23),"","("&amp;""""&amp;SUBSTITUTE(C23,"
",""""&amp;","&amp;"""")&amp;""""&amp;")")</f>
        <v/>
      </c>
      <c r="J23" s="6" t="str">
        <f>=IF(ISBLANK(D23),"","("&amp;""""&amp;SUBSTITUTE(D23,"
",""""&amp;","&amp;"""")&amp;""""&amp;")")</f>
        <v/>
      </c>
      <c r="K23" s="6">
        <f>=A23</f>
        <v>0</v>
      </c>
    </row>
    <row r="24" spans="2:11">
      <c r="B24" s="8" t="s"/>
      <c r="C24" s="8" t="s"/>
      <c r="D24" s="8" t="s"/>
      <c r="F24" s="8" t="s"/>
      <c r="G24" s="8" t="s"/>
      <c r="H24" s="6" t="str">
        <f>=IF(ISBLANK(B24),"","("&amp;""""&amp;SUBSTITUTE(B24,"
",""""&amp;","&amp;"""")&amp;""""&amp;")")</f>
        <v/>
      </c>
      <c r="I24" s="6" t="str">
        <f>=IF(ISBLANK(C24),"","("&amp;""""&amp;SUBSTITUTE(C24,"
",""""&amp;","&amp;"""")&amp;""""&amp;")")</f>
        <v/>
      </c>
      <c r="J24" s="6" t="str">
        <f>=IF(ISBLANK(D24),"","("&amp;""""&amp;SUBSTITUTE(D24,"
",""""&amp;","&amp;"""")&amp;""""&amp;")")</f>
        <v/>
      </c>
      <c r="K24" s="6">
        <f>=A24</f>
        <v>0</v>
      </c>
    </row>
    <row r="25" spans="2:11">
      <c r="B25" s="8" t="s"/>
      <c r="C25" s="8" t="s"/>
      <c r="D25" s="8" t="s"/>
      <c r="F25" s="8" t="s"/>
      <c r="G25" s="8" t="s"/>
      <c r="H25" s="6" t="str">
        <f>=IF(ISBLANK(B25),"","("&amp;""""&amp;SUBSTITUTE(B25,"
",""""&amp;","&amp;"""")&amp;""""&amp;")")</f>
        <v/>
      </c>
      <c r="I25" s="6" t="str">
        <f>=IF(ISBLANK(C25),"","("&amp;""""&amp;SUBSTITUTE(C25,"
",""""&amp;","&amp;"""")&amp;""""&amp;")")</f>
        <v/>
      </c>
      <c r="J25" s="6" t="str">
        <f>=IF(ISBLANK(D25),"","("&amp;""""&amp;SUBSTITUTE(D25,"
",""""&amp;","&amp;"""")&amp;""""&amp;")")</f>
        <v/>
      </c>
      <c r="K25" s="6">
        <f>=A25</f>
        <v>0</v>
      </c>
    </row>
    <row r="26" spans="2:11">
      <c r="B26" s="8" t="s"/>
      <c r="C26" s="8" t="s"/>
      <c r="D26" s="8" t="s"/>
      <c r="F26" s="8" t="s"/>
      <c r="G26" s="8" t="s"/>
      <c r="H26" s="6" t="str">
        <f>=IF(ISBLANK(B26),"","("&amp;""""&amp;SUBSTITUTE(B26,"
",""""&amp;","&amp;"""")&amp;""""&amp;")")</f>
        <v/>
      </c>
      <c r="I26" s="6" t="str">
        <f>=IF(ISBLANK(C26),"","("&amp;""""&amp;SUBSTITUTE(C26,"
",""""&amp;","&amp;"""")&amp;""""&amp;")")</f>
        <v/>
      </c>
      <c r="J26" s="6" t="str">
        <f>=IF(ISBLANK(D26),"","("&amp;""""&amp;SUBSTITUTE(D26,"
",""""&amp;","&amp;"""")&amp;""""&amp;")")</f>
        <v/>
      </c>
      <c r="K26" s="6">
        <f>=A26</f>
        <v>0</v>
      </c>
    </row>
    <row r="27" spans="2:11">
      <c r="B27" s="8" t="s"/>
      <c r="C27" s="8" t="s"/>
      <c r="D27" s="8" t="s"/>
      <c r="F27" s="8" t="s"/>
      <c r="G27" s="8" t="s"/>
      <c r="H27" s="6" t="str">
        <f>=IF(ISBLANK(B27),"","("&amp;""""&amp;SUBSTITUTE(B27,"
",""""&amp;","&amp;"""")&amp;""""&amp;")")</f>
        <v/>
      </c>
      <c r="I27" s="6" t="str">
        <f>=IF(ISBLANK(C27),"","("&amp;""""&amp;SUBSTITUTE(C27,"
",""""&amp;","&amp;"""")&amp;""""&amp;")")</f>
        <v/>
      </c>
      <c r="J27" s="6" t="str">
        <f>=IF(ISBLANK(D27),"","("&amp;""""&amp;SUBSTITUTE(D27,"
",""""&amp;","&amp;"""")&amp;""""&amp;")")</f>
        <v/>
      </c>
      <c r="K27" s="6">
        <f>=A27</f>
        <v>0</v>
      </c>
    </row>
    <row r="28" spans="2:11">
      <c r="B28" s="8" t="s"/>
      <c r="C28" s="8" t="s"/>
      <c r="D28" s="8" t="s"/>
      <c r="F28" s="8" t="s"/>
      <c r="G28" s="8" t="s"/>
      <c r="H28" s="6" t="str">
        <f>=IF(ISBLANK(B28),"","("&amp;""""&amp;SUBSTITUTE(B28,"
",""""&amp;","&amp;"""")&amp;""""&amp;")")</f>
        <v/>
      </c>
      <c r="I28" s="6" t="str">
        <f>=IF(ISBLANK(C28),"","("&amp;""""&amp;SUBSTITUTE(C28,"
",""""&amp;","&amp;"""")&amp;""""&amp;")")</f>
        <v/>
      </c>
      <c r="J28" s="6" t="str">
        <f>=IF(ISBLANK(D28),"","("&amp;""""&amp;SUBSTITUTE(D28,"
",""""&amp;","&amp;"""")&amp;""""&amp;")")</f>
        <v/>
      </c>
      <c r="K28" s="6">
        <f>=A28</f>
        <v>0</v>
      </c>
    </row>
    <row r="29" spans="2:11">
      <c r="B29" s="8" t="s"/>
      <c r="C29" s="8" t="s"/>
      <c r="D29" s="8" t="s"/>
      <c r="F29" s="8" t="s"/>
      <c r="G29" s="8" t="s"/>
      <c r="H29" s="6" t="str">
        <f>=IF(ISBLANK(B29),"","("&amp;""""&amp;SUBSTITUTE(B29,"
",""""&amp;","&amp;"""")&amp;""""&amp;")")</f>
        <v/>
      </c>
      <c r="I29" s="6" t="str">
        <f>=IF(ISBLANK(C29),"","("&amp;""""&amp;SUBSTITUTE(C29,"
",""""&amp;","&amp;"""")&amp;""""&amp;")")</f>
        <v/>
      </c>
      <c r="J29" s="6" t="str">
        <f>=IF(ISBLANK(D29),"","("&amp;""""&amp;SUBSTITUTE(D29,"
",""""&amp;","&amp;"""")&amp;""""&amp;")")</f>
        <v/>
      </c>
      <c r="K29" s="6">
        <f>=A29</f>
        <v>0</v>
      </c>
    </row>
    <row r="30" spans="2:11">
      <c r="B30" s="8" t="s"/>
      <c r="C30" s="8" t="s"/>
      <c r="D30" s="8" t="s"/>
      <c r="F30" s="8" t="s"/>
      <c r="G30" s="8" t="s"/>
      <c r="H30" s="6" t="str">
        <f>=IF(ISBLANK(B30),"","("&amp;""""&amp;SUBSTITUTE(B30,"
",""""&amp;","&amp;"""")&amp;""""&amp;")")</f>
        <v/>
      </c>
      <c r="I30" s="6" t="str">
        <f>=IF(ISBLANK(C30),"","("&amp;""""&amp;SUBSTITUTE(C30,"
",""""&amp;","&amp;"""")&amp;""""&amp;")")</f>
        <v/>
      </c>
      <c r="J30" s="6" t="str">
        <f>=IF(ISBLANK(D30),"","("&amp;""""&amp;SUBSTITUTE(D30,"
",""""&amp;","&amp;"""")&amp;""""&amp;")")</f>
        <v/>
      </c>
      <c r="K30" s="6">
        <f>=A30</f>
        <v>0</v>
      </c>
    </row>
    <row r="31" spans="2:11">
      <c r="B31" s="8" t="s"/>
      <c r="C31" s="8" t="s"/>
      <c r="D31" s="8" t="s"/>
      <c r="F31" s="8" t="s"/>
      <c r="G31" s="8" t="s"/>
      <c r="H31" s="6" t="str">
        <f>=IF(ISBLANK(B31),"","("&amp;""""&amp;SUBSTITUTE(B31,"
",""""&amp;","&amp;"""")&amp;""""&amp;")")</f>
        <v/>
      </c>
      <c r="I31" s="6" t="str">
        <f>=IF(ISBLANK(C31),"","("&amp;""""&amp;SUBSTITUTE(C31,"
",""""&amp;","&amp;"""")&amp;""""&amp;")")</f>
        <v/>
      </c>
      <c r="J31" s="6" t="str">
        <f>=IF(ISBLANK(D31),"","("&amp;""""&amp;SUBSTITUTE(D31,"
",""""&amp;","&amp;"""")&amp;""""&amp;")")</f>
        <v/>
      </c>
      <c r="K31" s="6">
        <f>=A31</f>
        <v>0</v>
      </c>
    </row>
    <row r="32" spans="2:11">
      <c r="B32" s="8" t="s"/>
      <c r="C32" s="8" t="s"/>
      <c r="D32" s="8" t="s"/>
      <c r="F32" s="8" t="s"/>
      <c r="G32" s="8" t="s"/>
      <c r="H32" s="6" t="str">
        <f>=IF(ISBLANK(B32),"","("&amp;""""&amp;SUBSTITUTE(B32,"
",""""&amp;","&amp;"""")&amp;""""&amp;")")</f>
        <v/>
      </c>
      <c r="I32" s="6" t="str">
        <f>=IF(ISBLANK(C32),"","("&amp;""""&amp;SUBSTITUTE(C32,"
",""""&amp;","&amp;"""")&amp;""""&amp;")")</f>
        <v/>
      </c>
      <c r="J32" s="6" t="str">
        <f>=IF(ISBLANK(D32),"","("&amp;""""&amp;SUBSTITUTE(D32,"
",""""&amp;","&amp;"""")&amp;""""&amp;")")</f>
        <v/>
      </c>
      <c r="K32" s="6">
        <f>=A32</f>
        <v>0</v>
      </c>
    </row>
    <row r="33" spans="2:11">
      <c r="B33" s="8" t="s"/>
      <c r="C33" s="8" t="s"/>
      <c r="D33" s="8" t="s"/>
      <c r="F33" s="8" t="s"/>
      <c r="G33" s="8" t="s"/>
      <c r="H33" s="6" t="str">
        <f>=IF(ISBLANK(B33),"","("&amp;""""&amp;SUBSTITUTE(B33,"
",""""&amp;","&amp;"""")&amp;""""&amp;")")</f>
        <v/>
      </c>
      <c r="I33" s="6" t="str">
        <f>=IF(ISBLANK(C33),"","("&amp;""""&amp;SUBSTITUTE(C33,"
",""""&amp;","&amp;"""")&amp;""""&amp;")")</f>
        <v/>
      </c>
      <c r="J33" s="6" t="str">
        <f>=IF(ISBLANK(D33),"","("&amp;""""&amp;SUBSTITUTE(D33,"
",""""&amp;","&amp;"""")&amp;""""&amp;")")</f>
        <v/>
      </c>
      <c r="K33" s="6">
        <f>=A33</f>
        <v>0</v>
      </c>
    </row>
    <row r="34" spans="2:11">
      <c r="B34" s="8" t="s"/>
      <c r="C34" s="8" t="s"/>
      <c r="D34" s="8" t="s"/>
      <c r="F34" s="8" t="s"/>
      <c r="G34" s="8" t="s"/>
      <c r="H34" s="6" t="str">
        <f>=IF(ISBLANK(B34),"","("&amp;""""&amp;SUBSTITUTE(B34,"
",""""&amp;","&amp;"""")&amp;""""&amp;")")</f>
        <v/>
      </c>
      <c r="I34" s="6" t="str">
        <f>=IF(ISBLANK(C34),"","("&amp;""""&amp;SUBSTITUTE(C34,"
",""""&amp;","&amp;"""")&amp;""""&amp;")")</f>
        <v/>
      </c>
      <c r="J34" s="6" t="str">
        <f>=IF(ISBLANK(D34),"","("&amp;""""&amp;SUBSTITUTE(D34,"
",""""&amp;","&amp;"""")&amp;""""&amp;")")</f>
        <v/>
      </c>
      <c r="K34" s="6">
        <f>=A34</f>
        <v>0</v>
      </c>
    </row>
    <row r="35" spans="2:11">
      <c r="B35" s="8" t="s"/>
      <c r="C35" s="8" t="s"/>
      <c r="D35" s="8" t="s"/>
      <c r="F35" s="8" t="s"/>
      <c r="G35" s="8" t="s"/>
      <c r="H35" s="6" t="str">
        <f>=IF(ISBLANK(B35),"","("&amp;""""&amp;SUBSTITUTE(B35,"
",""""&amp;","&amp;"""")&amp;""""&amp;")")</f>
        <v/>
      </c>
      <c r="I35" s="6" t="str">
        <f>=IF(ISBLANK(C35),"","("&amp;""""&amp;SUBSTITUTE(C35,"
",""""&amp;","&amp;"""")&amp;""""&amp;")")</f>
        <v/>
      </c>
      <c r="J35" s="6" t="str">
        <f>=IF(ISBLANK(D35),"","("&amp;""""&amp;SUBSTITUTE(D35,"
",""""&amp;","&amp;"""")&amp;""""&amp;")")</f>
        <v/>
      </c>
      <c r="K35" s="6">
        <f>=A35</f>
        <v>0</v>
      </c>
    </row>
    <row r="36" spans="2:11">
      <c r="B36" s="8" t="s"/>
      <c r="C36" s="8" t="s"/>
      <c r="D36" s="8" t="s"/>
      <c r="F36" s="8" t="s"/>
      <c r="G36" s="8" t="s"/>
      <c r="H36" s="6" t="str">
        <f>=IF(ISBLANK(B36),"","("&amp;""""&amp;SUBSTITUTE(B36,"
",""""&amp;","&amp;"""")&amp;""""&amp;")")</f>
        <v/>
      </c>
      <c r="I36" s="6" t="str">
        <f>=IF(ISBLANK(C36),"","("&amp;""""&amp;SUBSTITUTE(C36,"
",""""&amp;","&amp;"""")&amp;""""&amp;")")</f>
        <v/>
      </c>
      <c r="J36" s="6" t="str">
        <f>=IF(ISBLANK(D36),"","("&amp;""""&amp;SUBSTITUTE(D36,"
",""""&amp;","&amp;"""")&amp;""""&amp;")")</f>
        <v/>
      </c>
      <c r="K36" s="6">
        <f>=A36</f>
        <v>0</v>
      </c>
    </row>
    <row r="37" spans="2:11">
      <c r="B37" s="8" t="s"/>
      <c r="C37" s="8" t="s"/>
      <c r="D37" s="8" t="s"/>
      <c r="F37" s="8" t="s"/>
      <c r="G37" s="8" t="s"/>
      <c r="H37" s="6" t="str">
        <f>=IF(ISBLANK(B37),"","("&amp;""""&amp;SUBSTITUTE(B37,"
",""""&amp;","&amp;"""")&amp;""""&amp;")")</f>
        <v/>
      </c>
      <c r="I37" s="6" t="str">
        <f>=IF(ISBLANK(C37),"","("&amp;""""&amp;SUBSTITUTE(C37,"
",""""&amp;","&amp;"""")&amp;""""&amp;")")</f>
        <v/>
      </c>
      <c r="J37" s="6" t="str">
        <f>=IF(ISBLANK(D37),"","("&amp;""""&amp;SUBSTITUTE(D37,"
",""""&amp;","&amp;"""")&amp;""""&amp;")")</f>
        <v/>
      </c>
      <c r="K37" s="6">
        <f>=A37</f>
        <v>0</v>
      </c>
    </row>
    <row r="38" spans="2:11">
      <c r="B38" s="8" t="s"/>
      <c r="C38" s="8" t="s"/>
      <c r="D38" s="8" t="s"/>
      <c r="F38" s="8" t="s"/>
      <c r="G38" s="8" t="s"/>
      <c r="H38" s="6" t="str">
        <f>=IF(ISBLANK(B38),"","("&amp;""""&amp;SUBSTITUTE(B38,"
",""""&amp;","&amp;"""")&amp;""""&amp;")")</f>
        <v/>
      </c>
      <c r="I38" s="6" t="str">
        <f>=IF(ISBLANK(C38),"","("&amp;""""&amp;SUBSTITUTE(C38,"
",""""&amp;","&amp;"""")&amp;""""&amp;")")</f>
        <v/>
      </c>
      <c r="J38" s="6" t="str">
        <f>=IF(ISBLANK(D38),"","("&amp;""""&amp;SUBSTITUTE(D38,"
",""""&amp;","&amp;"""")&amp;""""&amp;")")</f>
        <v/>
      </c>
      <c r="K38" s="6">
        <f>=A38</f>
        <v>0</v>
      </c>
    </row>
    <row r="39" spans="2:11">
      <c r="B39" s="8" t="s"/>
      <c r="C39" s="8" t="s"/>
      <c r="D39" s="8" t="s"/>
      <c r="F39" s="8" t="s"/>
      <c r="G39" s="8" t="s"/>
      <c r="H39" s="6" t="str">
        <f>=IF(ISBLANK(B39),"","("&amp;""""&amp;SUBSTITUTE(B39,"
",""""&amp;","&amp;"""")&amp;""""&amp;")")</f>
        <v/>
      </c>
      <c r="I39" s="6" t="str">
        <f>=IF(ISBLANK(C39),"","("&amp;""""&amp;SUBSTITUTE(C39,"
",""""&amp;","&amp;"""")&amp;""""&amp;")")</f>
        <v/>
      </c>
      <c r="J39" s="6" t="str">
        <f>=IF(ISBLANK(D39),"","("&amp;""""&amp;SUBSTITUTE(D39,"
",""""&amp;","&amp;"""")&amp;""""&amp;")")</f>
        <v/>
      </c>
      <c r="K39" s="6">
        <f>=A39</f>
        <v>0</v>
      </c>
    </row>
    <row r="40" spans="2:11">
      <c r="B40" s="8" t="s"/>
      <c r="C40" s="8" t="s"/>
      <c r="D40" s="8" t="s"/>
      <c r="F40" s="8" t="s"/>
      <c r="G40" s="8" t="s"/>
      <c r="H40" s="6" t="str">
        <f>=IF(ISBLANK(B40),"","("&amp;""""&amp;SUBSTITUTE(B40,"
",""""&amp;","&amp;"""")&amp;""""&amp;")")</f>
        <v/>
      </c>
      <c r="I40" s="6" t="str">
        <f>=IF(ISBLANK(C40),"","("&amp;""""&amp;SUBSTITUTE(C40,"
",""""&amp;","&amp;"""")&amp;""""&amp;")")</f>
        <v/>
      </c>
      <c r="J40" s="6" t="str">
        <f>=IF(ISBLANK(D40),"","("&amp;""""&amp;SUBSTITUTE(D40,"
",""""&amp;","&amp;"""")&amp;""""&amp;")")</f>
        <v/>
      </c>
      <c r="K40" s="6">
        <f>=A40</f>
        <v>0</v>
      </c>
    </row>
    <row r="41" spans="2:11">
      <c r="B41" s="8" t="s"/>
      <c r="C41" s="8" t="s"/>
      <c r="D41" s="8" t="s"/>
      <c r="F41" s="8" t="s"/>
      <c r="G41" s="8" t="s"/>
      <c r="H41" s="6" t="str">
        <f>=IF(ISBLANK(B41),"","("&amp;""""&amp;SUBSTITUTE(B41,"
",""""&amp;","&amp;"""")&amp;""""&amp;")")</f>
        <v/>
      </c>
      <c r="I41" s="6" t="str">
        <f>=IF(ISBLANK(C41),"","("&amp;""""&amp;SUBSTITUTE(C41,"
",""""&amp;","&amp;"""")&amp;""""&amp;")")</f>
        <v/>
      </c>
      <c r="J41" s="6" t="str">
        <f>=IF(ISBLANK(D41),"","("&amp;""""&amp;SUBSTITUTE(D41,"
",""""&amp;","&amp;"""")&amp;""""&amp;")")</f>
        <v/>
      </c>
      <c r="K41" s="6">
        <f>=A41</f>
        <v>0</v>
      </c>
    </row>
    <row r="42" spans="2:11">
      <c r="B42" s="8" t="s"/>
      <c r="C42" s="8" t="s"/>
      <c r="D42" s="8" t="s"/>
      <c r="F42" s="8" t="s"/>
      <c r="G42" s="8" t="s"/>
      <c r="H42" s="6" t="str">
        <f>=IF(ISBLANK(B42),"","("&amp;""""&amp;SUBSTITUTE(B42,"
",""""&amp;","&amp;"""")&amp;""""&amp;")")</f>
        <v/>
      </c>
      <c r="I42" s="6" t="str">
        <f>=IF(ISBLANK(C42),"","("&amp;""""&amp;SUBSTITUTE(C42,"
",""""&amp;","&amp;"""")&amp;""""&amp;")")</f>
        <v/>
      </c>
      <c r="J42" s="6" t="str">
        <f>=IF(ISBLANK(D42),"","("&amp;""""&amp;SUBSTITUTE(D42,"
",""""&amp;","&amp;"""")&amp;""""&amp;")")</f>
        <v/>
      </c>
      <c r="K42" s="6">
        <f>=A42</f>
        <v>0</v>
      </c>
    </row>
    <row r="43" spans="2:11">
      <c r="B43" s="8" t="s"/>
      <c r="C43" s="8" t="s"/>
      <c r="D43" s="8" t="s"/>
      <c r="F43" s="8" t="s"/>
      <c r="G43" s="8" t="s"/>
      <c r="H43" s="6" t="str">
        <f>=IF(ISBLANK(B43),"","("&amp;""""&amp;SUBSTITUTE(B43,"
",""""&amp;","&amp;"""")&amp;""""&amp;")")</f>
        <v/>
      </c>
      <c r="I43" s="6" t="str">
        <f>=IF(ISBLANK(C43),"","("&amp;""""&amp;SUBSTITUTE(C43,"
",""""&amp;","&amp;"""")&amp;""""&amp;")")</f>
        <v/>
      </c>
      <c r="J43" s="6" t="str">
        <f>=IF(ISBLANK(D43),"","("&amp;""""&amp;SUBSTITUTE(D43,"
",""""&amp;","&amp;"""")&amp;""""&amp;")")</f>
        <v/>
      </c>
      <c r="K43" s="6">
        <f>=A43</f>
        <v>0</v>
      </c>
    </row>
    <row r="44" spans="2:11">
      <c r="B44" s="8" t="s"/>
      <c r="C44" s="8" t="s"/>
      <c r="D44" s="8" t="s"/>
      <c r="F44" s="8" t="s"/>
      <c r="G44" s="8" t="s"/>
      <c r="H44" s="6" t="str">
        <f>=IF(ISBLANK(B44),"","("&amp;""""&amp;SUBSTITUTE(B44,"
",""""&amp;","&amp;"""")&amp;""""&amp;")")</f>
        <v/>
      </c>
      <c r="I44" s="6" t="str">
        <f>=IF(ISBLANK(C44),"","("&amp;""""&amp;SUBSTITUTE(C44,"
",""""&amp;","&amp;"""")&amp;""""&amp;")")</f>
        <v/>
      </c>
      <c r="J44" s="6" t="str">
        <f>=IF(ISBLANK(D44),"","("&amp;""""&amp;SUBSTITUTE(D44,"
",""""&amp;","&amp;"""")&amp;""""&amp;")")</f>
        <v/>
      </c>
      <c r="K44" s="6">
        <f>=A44</f>
        <v>0</v>
      </c>
    </row>
    <row r="45" spans="2:11">
      <c r="B45" s="8" t="s"/>
      <c r="C45" s="8" t="s"/>
      <c r="D45" s="8" t="s"/>
      <c r="F45" s="8" t="s"/>
      <c r="G45" s="8" t="s"/>
      <c r="H45" s="6" t="str">
        <f>=IF(ISBLANK(B45),"","("&amp;""""&amp;SUBSTITUTE(B45,"
",""""&amp;","&amp;"""")&amp;""""&amp;")")</f>
        <v/>
      </c>
      <c r="I45" s="6" t="str">
        <f>=IF(ISBLANK(C45),"","("&amp;""""&amp;SUBSTITUTE(C45,"
",""""&amp;","&amp;"""")&amp;""""&amp;")")</f>
        <v/>
      </c>
      <c r="J45" s="6" t="str">
        <f>=IF(ISBLANK(D45),"","("&amp;""""&amp;SUBSTITUTE(D45,"
",""""&amp;","&amp;"""")&amp;""""&amp;")")</f>
        <v/>
      </c>
      <c r="K45" s="6">
        <f>=A45</f>
        <v>0</v>
      </c>
    </row>
    <row r="46" spans="2:11">
      <c r="B46" s="8" t="s"/>
      <c r="C46" s="8" t="s"/>
      <c r="D46" s="8" t="s"/>
      <c r="F46" s="8" t="s"/>
      <c r="G46" s="8" t="s"/>
      <c r="H46" s="6" t="str">
        <f>=IF(ISBLANK(B46),"","("&amp;""""&amp;SUBSTITUTE(B46,"
",""""&amp;","&amp;"""")&amp;""""&amp;")")</f>
        <v/>
      </c>
      <c r="I46" s="6" t="str">
        <f>=IF(ISBLANK(C46),"","("&amp;""""&amp;SUBSTITUTE(C46,"
",""""&amp;","&amp;"""")&amp;""""&amp;")")</f>
        <v/>
      </c>
      <c r="J46" s="6" t="str">
        <f>=IF(ISBLANK(D46),"","("&amp;""""&amp;SUBSTITUTE(D46,"
",""""&amp;","&amp;"""")&amp;""""&amp;")")</f>
        <v/>
      </c>
      <c r="K46" s="6">
        <f>=A46</f>
        <v>0</v>
      </c>
    </row>
    <row r="47" spans="2:11">
      <c r="B47" s="8" t="s"/>
      <c r="C47" s="8" t="s"/>
      <c r="D47" s="8" t="s"/>
      <c r="F47" s="8" t="s"/>
      <c r="G47" s="8" t="s"/>
      <c r="H47" s="6" t="str">
        <f>=IF(ISBLANK(B47),"","("&amp;""""&amp;SUBSTITUTE(B47,"
",""""&amp;","&amp;"""")&amp;""""&amp;")")</f>
        <v/>
      </c>
      <c r="I47" s="6" t="str">
        <f>=IF(ISBLANK(C47),"","("&amp;""""&amp;SUBSTITUTE(C47,"
",""""&amp;","&amp;"""")&amp;""""&amp;")")</f>
        <v/>
      </c>
      <c r="J47" s="6" t="str">
        <f>=IF(ISBLANK(D47),"","("&amp;""""&amp;SUBSTITUTE(D47,"
",""""&amp;","&amp;"""")&amp;""""&amp;")")</f>
        <v/>
      </c>
      <c r="K47" s="6">
        <f>=A47</f>
        <v>0</v>
      </c>
    </row>
    <row r="48" spans="2:11">
      <c r="B48" s="8" t="s"/>
      <c r="C48" s="8" t="s"/>
      <c r="D48" s="8" t="s"/>
      <c r="F48" s="8" t="s"/>
      <c r="G48" s="8" t="s"/>
      <c r="H48" s="6" t="str">
        <f>=IF(ISBLANK(B48),"","("&amp;""""&amp;SUBSTITUTE(B48,"
",""""&amp;","&amp;"""")&amp;""""&amp;")")</f>
        <v/>
      </c>
      <c r="I48" s="6" t="str">
        <f>=IF(ISBLANK(C48),"","("&amp;""""&amp;SUBSTITUTE(C48,"
",""""&amp;","&amp;"""")&amp;""""&amp;")")</f>
        <v/>
      </c>
      <c r="J48" s="6" t="str">
        <f>=IF(ISBLANK(D48),"","("&amp;""""&amp;SUBSTITUTE(D48,"
",""""&amp;","&amp;"""")&amp;""""&amp;")")</f>
        <v/>
      </c>
      <c r="K48" s="6">
        <f>=A48</f>
        <v>0</v>
      </c>
    </row>
    <row r="49" spans="2:11">
      <c r="B49" s="8" t="s"/>
      <c r="C49" s="8" t="s"/>
      <c r="D49" s="8" t="s"/>
      <c r="F49" s="8" t="s"/>
      <c r="G49" s="8" t="s"/>
      <c r="H49" s="6" t="str">
        <f>=IF(ISBLANK(B49),"","("&amp;""""&amp;SUBSTITUTE(B49,"
",""""&amp;","&amp;"""")&amp;""""&amp;")")</f>
        <v/>
      </c>
      <c r="I49" s="6" t="str">
        <f>=IF(ISBLANK(C49),"","("&amp;""""&amp;SUBSTITUTE(C49,"
",""""&amp;","&amp;"""")&amp;""""&amp;")")</f>
        <v/>
      </c>
      <c r="J49" s="6" t="str">
        <f>=IF(ISBLANK(D49),"","("&amp;""""&amp;SUBSTITUTE(D49,"
",""""&amp;","&amp;"""")&amp;""""&amp;")")</f>
        <v/>
      </c>
      <c r="K49" s="6">
        <f>=A49</f>
        <v>0</v>
      </c>
    </row>
    <row r="50" spans="2:11">
      <c r="B50" s="8" t="s"/>
      <c r="C50" s="8" t="s"/>
      <c r="D50" s="8" t="s"/>
      <c r="F50" s="8" t="s"/>
      <c r="G50" s="8" t="s"/>
      <c r="H50" s="6" t="str">
        <f>=IF(ISBLANK(B50),"","("&amp;""""&amp;SUBSTITUTE(B50,"
",""""&amp;","&amp;"""")&amp;""""&amp;")")</f>
        <v/>
      </c>
      <c r="I50" s="6" t="str">
        <f>=IF(ISBLANK(C50),"","("&amp;""""&amp;SUBSTITUTE(C50,"
",""""&amp;","&amp;"""")&amp;""""&amp;")")</f>
        <v/>
      </c>
      <c r="J50" s="6" t="str">
        <f>=IF(ISBLANK(D50),"","("&amp;""""&amp;SUBSTITUTE(D50,"
",""""&amp;","&amp;"""")&amp;""""&amp;")")</f>
        <v/>
      </c>
      <c r="K50" s="6">
        <f>=A50</f>
        <v>0</v>
      </c>
    </row>
    <row r="51" spans="2:11">
      <c r="B51" s="8" t="s"/>
      <c r="C51" s="8" t="s"/>
      <c r="D51" s="8" t="s"/>
      <c r="F51" s="8" t="s"/>
      <c r="G51" s="8" t="s"/>
      <c r="H51" s="6" t="str">
        <f>=IF(ISBLANK(B51),"","("&amp;""""&amp;SUBSTITUTE(B51,"
",""""&amp;","&amp;"""")&amp;""""&amp;")")</f>
        <v/>
      </c>
      <c r="I51" s="6" t="str">
        <f>=IF(ISBLANK(C51),"","("&amp;""""&amp;SUBSTITUTE(C51,"
",""""&amp;","&amp;"""")&amp;""""&amp;")")</f>
        <v/>
      </c>
      <c r="J51" s="6" t="str">
        <f>=IF(ISBLANK(D51),"","("&amp;""""&amp;SUBSTITUTE(D51,"
",""""&amp;","&amp;"""")&amp;""""&amp;")")</f>
        <v/>
      </c>
      <c r="K51" s="6">
        <f>=A51</f>
        <v>0</v>
      </c>
    </row>
    <row r="52" spans="2:11">
      <c r="B52" s="8" t="s"/>
      <c r="C52" s="8" t="s"/>
      <c r="D52" s="8" t="s"/>
      <c r="F52" s="8" t="s"/>
      <c r="G52" s="8" t="s"/>
      <c r="H52" s="6" t="str">
        <f>=IF(ISBLANK(B52),"","("&amp;""""&amp;SUBSTITUTE(B52,"
",""""&amp;","&amp;"""")&amp;""""&amp;")")</f>
        <v/>
      </c>
      <c r="I52" s="6" t="str">
        <f>=IF(ISBLANK(C52),"","("&amp;""""&amp;SUBSTITUTE(C52,"
",""""&amp;","&amp;"""")&amp;""""&amp;")")</f>
        <v/>
      </c>
      <c r="J52" s="6" t="str">
        <f>=IF(ISBLANK(D52),"","("&amp;""""&amp;SUBSTITUTE(D52,"
",""""&amp;","&amp;"""")&amp;""""&amp;")")</f>
        <v/>
      </c>
      <c r="K52" s="6">
        <f>=A52</f>
        <v>0</v>
      </c>
    </row>
    <row r="53" spans="2:11">
      <c r="B53" s="8" t="s"/>
      <c r="C53" s="8" t="s"/>
      <c r="D53" s="8" t="s"/>
      <c r="F53" s="8" t="s"/>
      <c r="G53" s="8" t="s"/>
      <c r="H53" s="6" t="str">
        <f>=IF(ISBLANK(B53),"","("&amp;""""&amp;SUBSTITUTE(B53,"
",""""&amp;","&amp;"""")&amp;""""&amp;")")</f>
        <v/>
      </c>
      <c r="I53" s="6" t="str">
        <f>=IF(ISBLANK(C53),"","("&amp;""""&amp;SUBSTITUTE(C53,"
",""""&amp;","&amp;"""")&amp;""""&amp;")")</f>
        <v/>
      </c>
      <c r="J53" s="6" t="str">
        <f>=IF(ISBLANK(D53),"","("&amp;""""&amp;SUBSTITUTE(D53,"
",""""&amp;","&amp;"""")&amp;""""&amp;")")</f>
        <v/>
      </c>
      <c r="K53" s="6">
        <f>=A53</f>
        <v>0</v>
      </c>
    </row>
    <row r="54" spans="2:11">
      <c r="B54" s="8" t="s"/>
      <c r="C54" s="8" t="s"/>
      <c r="D54" s="8" t="s"/>
      <c r="F54" s="8" t="s"/>
      <c r="G54" s="8" t="s"/>
      <c r="H54" s="6" t="str">
        <f>=IF(ISBLANK(B54),"","("&amp;""""&amp;SUBSTITUTE(B54,"
",""""&amp;","&amp;"""")&amp;""""&amp;")")</f>
        <v/>
      </c>
      <c r="I54" s="6" t="str">
        <f>=IF(ISBLANK(C54),"","("&amp;""""&amp;SUBSTITUTE(C54,"
",""""&amp;","&amp;"""")&amp;""""&amp;")")</f>
        <v/>
      </c>
      <c r="J54" s="6" t="str">
        <f>=IF(ISBLANK(D54),"","("&amp;""""&amp;SUBSTITUTE(D54,"
",""""&amp;","&amp;"""")&amp;""""&amp;")")</f>
        <v/>
      </c>
      <c r="K54" s="6">
        <f>=A54</f>
        <v>0</v>
      </c>
    </row>
    <row r="55" spans="2:11">
      <c r="B55" s="8" t="s"/>
      <c r="C55" s="8" t="s"/>
      <c r="D55" s="8" t="s"/>
      <c r="F55" s="8" t="s"/>
      <c r="G55" s="8" t="s"/>
      <c r="H55" s="6" t="str">
        <f>=IF(ISBLANK(B55),"","("&amp;""""&amp;SUBSTITUTE(B55,"
",""""&amp;","&amp;"""")&amp;""""&amp;")")</f>
        <v/>
      </c>
      <c r="I55" s="6" t="str">
        <f>=IF(ISBLANK(C55),"","("&amp;""""&amp;SUBSTITUTE(C55,"
",""""&amp;","&amp;"""")&amp;""""&amp;")")</f>
        <v/>
      </c>
      <c r="J55" s="6" t="str">
        <f>=IF(ISBLANK(D55),"","("&amp;""""&amp;SUBSTITUTE(D55,"
",""""&amp;","&amp;"""")&amp;""""&amp;")")</f>
        <v/>
      </c>
      <c r="K55" s="6">
        <f>=A55</f>
        <v>0</v>
      </c>
    </row>
    <row r="56" spans="2:11">
      <c r="B56" s="8" t="s"/>
      <c r="C56" s="8" t="s"/>
      <c r="D56" s="8" t="s"/>
      <c r="F56" s="8" t="s"/>
      <c r="G56" s="8" t="s"/>
      <c r="H56" s="6" t="str">
        <f>=IF(ISBLANK(B56),"","("&amp;""""&amp;SUBSTITUTE(B56,"
",""""&amp;","&amp;"""")&amp;""""&amp;")")</f>
        <v/>
      </c>
      <c r="I56" s="6" t="str">
        <f>=IF(ISBLANK(C56),"","("&amp;""""&amp;SUBSTITUTE(C56,"
",""""&amp;","&amp;"""")&amp;""""&amp;")")</f>
        <v/>
      </c>
      <c r="J56" s="6" t="str">
        <f>=IF(ISBLANK(D56),"","("&amp;""""&amp;SUBSTITUTE(D56,"
",""""&amp;","&amp;"""")&amp;""""&amp;")")</f>
        <v/>
      </c>
      <c r="K56" s="6">
        <f>=A56</f>
        <v>0</v>
      </c>
    </row>
    <row r="57" spans="2:11">
      <c r="B57" s="8" t="s"/>
      <c r="C57" s="8" t="s"/>
      <c r="D57" s="8" t="s"/>
      <c r="F57" s="8" t="s"/>
      <c r="G57" s="8" t="s"/>
      <c r="H57" s="6" t="str">
        <f>=IF(ISBLANK(B57),"","("&amp;""""&amp;SUBSTITUTE(B57,"
",""""&amp;","&amp;"""")&amp;""""&amp;")")</f>
        <v/>
      </c>
      <c r="I57" s="6" t="str">
        <f>=IF(ISBLANK(C57),"","("&amp;""""&amp;SUBSTITUTE(C57,"
",""""&amp;","&amp;"""")&amp;""""&amp;")")</f>
        <v/>
      </c>
      <c r="J57" s="6" t="str">
        <f>=IF(ISBLANK(D57),"","("&amp;""""&amp;SUBSTITUTE(D57,"
",""""&amp;","&amp;"""")&amp;""""&amp;")")</f>
        <v/>
      </c>
      <c r="K57" s="6">
        <f>=A57</f>
        <v>0</v>
      </c>
    </row>
    <row r="58" spans="2:11">
      <c r="B58" s="8" t="s"/>
      <c r="C58" s="8" t="s"/>
      <c r="D58" s="8" t="s"/>
      <c r="F58" s="8" t="s"/>
      <c r="G58" s="8" t="s"/>
      <c r="H58" s="6" t="str">
        <f>=IF(ISBLANK(B58),"","("&amp;""""&amp;SUBSTITUTE(B58,"
",""""&amp;","&amp;"""")&amp;""""&amp;")")</f>
        <v/>
      </c>
      <c r="I58" s="6" t="str">
        <f>=IF(ISBLANK(C58),"","("&amp;""""&amp;SUBSTITUTE(C58,"
",""""&amp;","&amp;"""")&amp;""""&amp;")")</f>
        <v/>
      </c>
      <c r="J58" s="6" t="str">
        <f>=IF(ISBLANK(D58),"","("&amp;""""&amp;SUBSTITUTE(D58,"
",""""&amp;","&amp;"""")&amp;""""&amp;")")</f>
        <v/>
      </c>
      <c r="K58" s="6">
        <f>=A58</f>
        <v>0</v>
      </c>
    </row>
    <row r="59" spans="2:11">
      <c r="B59" s="8" t="s"/>
      <c r="C59" s="8" t="s"/>
      <c r="D59" s="8" t="s"/>
      <c r="F59" s="8" t="s"/>
      <c r="G59" s="8" t="s"/>
      <c r="H59" s="6" t="str">
        <f>=IF(ISBLANK(B59),"","("&amp;""""&amp;SUBSTITUTE(B59,"
",""""&amp;","&amp;"""")&amp;""""&amp;")")</f>
        <v/>
      </c>
      <c r="I59" s="6" t="str">
        <f>=IF(ISBLANK(C59),"","("&amp;""""&amp;SUBSTITUTE(C59,"
",""""&amp;","&amp;"""")&amp;""""&amp;")")</f>
        <v/>
      </c>
      <c r="J59" s="6" t="str">
        <f>=IF(ISBLANK(D59),"","("&amp;""""&amp;SUBSTITUTE(D59,"
",""""&amp;","&amp;"""")&amp;""""&amp;")")</f>
        <v/>
      </c>
      <c r="K59" s="6">
        <f>=A59</f>
        <v>0</v>
      </c>
    </row>
    <row r="60" spans="2:11">
      <c r="B60" s="8" t="s"/>
      <c r="C60" s="8" t="s"/>
      <c r="D60" s="8" t="s"/>
      <c r="F60" s="8" t="s"/>
      <c r="G60" s="8" t="s"/>
      <c r="H60" s="6" t="str">
        <f>=IF(ISBLANK(B60),"","("&amp;""""&amp;SUBSTITUTE(B60,"
",""""&amp;","&amp;"""")&amp;""""&amp;")")</f>
        <v/>
      </c>
      <c r="I60" s="6" t="str">
        <f>=IF(ISBLANK(C60),"","("&amp;""""&amp;SUBSTITUTE(C60,"
",""""&amp;","&amp;"""")&amp;""""&amp;")")</f>
        <v/>
      </c>
      <c r="J60" s="6" t="str">
        <f>=IF(ISBLANK(D60),"","("&amp;""""&amp;SUBSTITUTE(D60,"
",""""&amp;","&amp;"""")&amp;""""&amp;")")</f>
        <v/>
      </c>
      <c r="K60" s="6">
        <f>=A60</f>
        <v>0</v>
      </c>
    </row>
    <row r="61" spans="2:11">
      <c r="B61" s="8" t="s"/>
      <c r="C61" s="8" t="s"/>
      <c r="D61" s="8" t="s"/>
      <c r="F61" s="8" t="s"/>
      <c r="G61" s="8" t="s"/>
      <c r="H61" s="6" t="str">
        <f>=IF(ISBLANK(B61),"","("&amp;""""&amp;SUBSTITUTE(B61,"
",""""&amp;","&amp;"""")&amp;""""&amp;")")</f>
        <v/>
      </c>
      <c r="I61" s="6" t="str">
        <f>=IF(ISBLANK(C61),"","("&amp;""""&amp;SUBSTITUTE(C61,"
",""""&amp;","&amp;"""")&amp;""""&amp;")")</f>
        <v/>
      </c>
      <c r="J61" s="6" t="str">
        <f>=IF(ISBLANK(D61),"","("&amp;""""&amp;SUBSTITUTE(D61,"
",""""&amp;","&amp;"""")&amp;""""&amp;")")</f>
        <v/>
      </c>
      <c r="K61" s="6">
        <f>=A61</f>
        <v>0</v>
      </c>
    </row>
    <row r="62" spans="2:11">
      <c r="B62" s="8" t="s"/>
      <c r="C62" s="8" t="s"/>
      <c r="D62" s="8" t="s"/>
      <c r="F62" s="8" t="s"/>
      <c r="G62" s="8" t="s"/>
      <c r="H62" s="6" t="str">
        <f>=IF(ISBLANK(B62),"","("&amp;""""&amp;SUBSTITUTE(B62,"
",""""&amp;","&amp;"""")&amp;""""&amp;")")</f>
        <v/>
      </c>
      <c r="I62" s="6" t="str">
        <f>=IF(ISBLANK(C62),"","("&amp;""""&amp;SUBSTITUTE(C62,"
",""""&amp;","&amp;"""")&amp;""""&amp;")")</f>
        <v/>
      </c>
      <c r="J62" s="6" t="str">
        <f>=IF(ISBLANK(D62),"","("&amp;""""&amp;SUBSTITUTE(D62,"
",""""&amp;","&amp;"""")&amp;""""&amp;")")</f>
        <v/>
      </c>
      <c r="K62" s="6">
        <f>=A62</f>
        <v>0</v>
      </c>
    </row>
    <row r="63" spans="2:11">
      <c r="B63" s="8" t="s"/>
      <c r="C63" s="8" t="s"/>
      <c r="D63" s="8" t="s"/>
      <c r="F63" s="8" t="s"/>
      <c r="G63" s="8" t="s"/>
      <c r="H63" s="6" t="str">
        <f>=IF(ISBLANK(B63),"","("&amp;""""&amp;SUBSTITUTE(B63,"
",""""&amp;","&amp;"""")&amp;""""&amp;")")</f>
        <v/>
      </c>
      <c r="I63" s="6" t="str">
        <f>=IF(ISBLANK(C63),"","("&amp;""""&amp;SUBSTITUTE(C63,"
",""""&amp;","&amp;"""")&amp;""""&amp;")")</f>
        <v/>
      </c>
      <c r="J63" s="6" t="str">
        <f>=IF(ISBLANK(D63),"","("&amp;""""&amp;SUBSTITUTE(D63,"
",""""&amp;","&amp;"""")&amp;""""&amp;")")</f>
        <v/>
      </c>
      <c r="K63" s="6">
        <f>=A63</f>
        <v>0</v>
      </c>
    </row>
    <row r="64" spans="2:11">
      <c r="B64" s="8" t="s"/>
      <c r="C64" s="8" t="s"/>
      <c r="D64" s="8" t="s"/>
      <c r="F64" s="8" t="s"/>
      <c r="G64" s="8" t="s"/>
      <c r="H64" s="6" t="str">
        <f>=IF(ISBLANK(B64),"","("&amp;""""&amp;SUBSTITUTE(B64,"
",""""&amp;","&amp;"""")&amp;""""&amp;")")</f>
        <v/>
      </c>
      <c r="I64" s="6" t="str">
        <f>=IF(ISBLANK(C64),"","("&amp;""""&amp;SUBSTITUTE(C64,"
",""""&amp;","&amp;"""")&amp;""""&amp;")")</f>
        <v/>
      </c>
      <c r="J64" s="6" t="str">
        <f>=IF(ISBLANK(D64),"","("&amp;""""&amp;SUBSTITUTE(D64,"
",""""&amp;","&amp;"""")&amp;""""&amp;")")</f>
        <v/>
      </c>
      <c r="K64" s="6">
        <f>=A64</f>
        <v>0</v>
      </c>
    </row>
    <row r="65" spans="2:11">
      <c r="B65" s="8" t="s"/>
      <c r="C65" s="8" t="s"/>
      <c r="D65" s="8" t="s"/>
      <c r="F65" s="8" t="s"/>
      <c r="G65" s="8" t="s"/>
      <c r="H65" s="6" t="str">
        <f>=IF(ISBLANK(B65),"","("&amp;""""&amp;SUBSTITUTE(B65,"
",""""&amp;","&amp;"""")&amp;""""&amp;")")</f>
        <v/>
      </c>
      <c r="I65" s="6" t="str">
        <f>=IF(ISBLANK(C65),"","("&amp;""""&amp;SUBSTITUTE(C65,"
",""""&amp;","&amp;"""")&amp;""""&amp;")")</f>
        <v/>
      </c>
      <c r="J65" s="6" t="str">
        <f>=IF(ISBLANK(D65),"","("&amp;""""&amp;SUBSTITUTE(D65,"
",""""&amp;","&amp;"""")&amp;""""&amp;")")</f>
        <v/>
      </c>
      <c r="K65" s="6">
        <f>=A65</f>
        <v>0</v>
      </c>
    </row>
    <row r="66" spans="2:11">
      <c r="B66" s="8" t="s"/>
      <c r="C66" s="8" t="s"/>
      <c r="D66" s="8" t="s"/>
      <c r="F66" s="8" t="s"/>
      <c r="G66" s="8" t="s"/>
      <c r="H66" s="6" t="str">
        <f>=IF(ISBLANK(B66),"","("&amp;""""&amp;SUBSTITUTE(B66,"
",""""&amp;","&amp;"""")&amp;""""&amp;")")</f>
        <v/>
      </c>
      <c r="I66" s="6" t="str">
        <f>=IF(ISBLANK(C66),"","("&amp;""""&amp;SUBSTITUTE(C66,"
",""""&amp;","&amp;"""")&amp;""""&amp;")")</f>
        <v/>
      </c>
      <c r="J66" s="6" t="str">
        <f>=IF(ISBLANK(D66),"","("&amp;""""&amp;SUBSTITUTE(D66,"
",""""&amp;","&amp;"""")&amp;""""&amp;")")</f>
        <v/>
      </c>
      <c r="K66" s="6">
        <f>=A66</f>
        <v>0</v>
      </c>
    </row>
    <row r="67" spans="2:11">
      <c r="B67" s="8" t="s"/>
      <c r="C67" s="8" t="s"/>
      <c r="D67" s="8" t="s"/>
      <c r="F67" s="8" t="s"/>
      <c r="G67" s="8" t="s"/>
      <c r="H67" s="6" t="str">
        <f>=IF(ISBLANK(B67),"","("&amp;""""&amp;SUBSTITUTE(B67,"
",""""&amp;","&amp;"""")&amp;""""&amp;")")</f>
        <v/>
      </c>
      <c r="I67" s="6" t="str">
        <f>=IF(ISBLANK(C67),"","("&amp;""""&amp;SUBSTITUTE(C67,"
",""""&amp;","&amp;"""")&amp;""""&amp;")")</f>
        <v/>
      </c>
      <c r="J67" s="6" t="str">
        <f>=IF(ISBLANK(D67),"","("&amp;""""&amp;SUBSTITUTE(D67,"
",""""&amp;","&amp;"""")&amp;""""&amp;")")</f>
        <v/>
      </c>
      <c r="K67" s="6">
        <f>=A67</f>
        <v>0</v>
      </c>
    </row>
    <row r="68" spans="2:11">
      <c r="B68" s="8" t="s"/>
      <c r="C68" s="8" t="s"/>
      <c r="D68" s="8" t="s"/>
      <c r="F68" s="8" t="s"/>
      <c r="G68" s="8" t="s"/>
      <c r="H68" s="6" t="str">
        <f>=IF(ISBLANK(B68),"","("&amp;""""&amp;SUBSTITUTE(B68,"
",""""&amp;","&amp;"""")&amp;""""&amp;")")</f>
        <v/>
      </c>
      <c r="I68" s="6" t="str">
        <f>=IF(ISBLANK(C68),"","("&amp;""""&amp;SUBSTITUTE(C68,"
",""""&amp;","&amp;"""")&amp;""""&amp;")")</f>
        <v/>
      </c>
      <c r="J68" s="6" t="str">
        <f>=IF(ISBLANK(D68),"","("&amp;""""&amp;SUBSTITUTE(D68,"
",""""&amp;","&amp;"""")&amp;""""&amp;")")</f>
        <v/>
      </c>
      <c r="K68" s="6">
        <f>=A68</f>
        <v>0</v>
      </c>
    </row>
    <row r="69" spans="2:11">
      <c r="B69" s="8" t="s"/>
      <c r="C69" s="8" t="s"/>
      <c r="D69" s="8" t="s"/>
      <c r="F69" s="8" t="s"/>
      <c r="G69" s="8" t="s"/>
      <c r="H69" s="6" t="str">
        <f>=IF(ISBLANK(B69),"","("&amp;""""&amp;SUBSTITUTE(B69,"
",""""&amp;","&amp;"""")&amp;""""&amp;")")</f>
        <v/>
      </c>
      <c r="I69" s="6" t="str">
        <f>=IF(ISBLANK(C69),"","("&amp;""""&amp;SUBSTITUTE(C69,"
",""""&amp;","&amp;"""")&amp;""""&amp;")")</f>
        <v/>
      </c>
      <c r="J69" s="6" t="str">
        <f>=IF(ISBLANK(D69),"","("&amp;""""&amp;SUBSTITUTE(D69,"
",""""&amp;","&amp;"""")&amp;""""&amp;")")</f>
        <v/>
      </c>
      <c r="K69" s="6">
        <f>=A69</f>
        <v>0</v>
      </c>
    </row>
    <row r="70" spans="2:11">
      <c r="B70" s="8" t="s"/>
      <c r="C70" s="8" t="s"/>
      <c r="D70" s="8" t="s"/>
      <c r="F70" s="8" t="s"/>
      <c r="G70" s="8" t="s"/>
      <c r="H70" s="6" t="str">
        <f>=IF(ISBLANK(B70),"","("&amp;""""&amp;SUBSTITUTE(B70,"
",""""&amp;","&amp;"""")&amp;""""&amp;")")</f>
        <v/>
      </c>
      <c r="I70" s="6" t="str">
        <f>=IF(ISBLANK(C70),"","("&amp;""""&amp;SUBSTITUTE(C70,"
",""""&amp;","&amp;"""")&amp;""""&amp;")")</f>
        <v/>
      </c>
      <c r="J70" s="6" t="str">
        <f>=IF(ISBLANK(D70),"","("&amp;""""&amp;SUBSTITUTE(D70,"
",""""&amp;","&amp;"""")&amp;""""&amp;")")</f>
        <v/>
      </c>
      <c r="K70" s="6">
        <f>=A70</f>
        <v>0</v>
      </c>
    </row>
    <row r="71" spans="2:11">
      <c r="B71" s="8" t="s"/>
      <c r="C71" s="8" t="s"/>
      <c r="D71" s="8" t="s"/>
      <c r="F71" s="8" t="s"/>
      <c r="G71" s="8" t="s"/>
      <c r="H71" s="6" t="str">
        <f>=IF(ISBLANK(B71),"","("&amp;""""&amp;SUBSTITUTE(B71,"
",""""&amp;","&amp;"""")&amp;""""&amp;")")</f>
        <v/>
      </c>
      <c r="I71" s="6" t="str">
        <f>=IF(ISBLANK(C71),"","("&amp;""""&amp;SUBSTITUTE(C71,"
",""""&amp;","&amp;"""")&amp;""""&amp;")")</f>
        <v/>
      </c>
      <c r="J71" s="6" t="str">
        <f>=IF(ISBLANK(D71),"","("&amp;""""&amp;SUBSTITUTE(D71,"
",""""&amp;","&amp;"""")&amp;""""&amp;")")</f>
        <v/>
      </c>
      <c r="K71" s="6">
        <f>=A71</f>
        <v>0</v>
      </c>
    </row>
    <row r="72" spans="2:11">
      <c r="B72" s="8" t="s"/>
      <c r="C72" s="8" t="s"/>
      <c r="D72" s="8" t="s"/>
      <c r="F72" s="8" t="s"/>
      <c r="G72" s="8" t="s"/>
      <c r="H72" s="6" t="str">
        <f>=IF(ISBLANK(B72),"","("&amp;""""&amp;SUBSTITUTE(B72,"
",""""&amp;","&amp;"""")&amp;""""&amp;")")</f>
        <v/>
      </c>
      <c r="I72" s="6" t="str">
        <f>=IF(ISBLANK(C72),"","("&amp;""""&amp;SUBSTITUTE(C72,"
",""""&amp;","&amp;"""")&amp;""""&amp;")")</f>
        <v/>
      </c>
      <c r="J72" s="6" t="str">
        <f>=IF(ISBLANK(D72),"","("&amp;""""&amp;SUBSTITUTE(D72,"
",""""&amp;","&amp;"""")&amp;""""&amp;")")</f>
        <v/>
      </c>
      <c r="K72" s="6">
        <f>=A72</f>
        <v>0</v>
      </c>
    </row>
    <row r="73" spans="2:11">
      <c r="B73" s="8" t="s"/>
      <c r="C73" s="8" t="s"/>
      <c r="D73" s="8" t="s"/>
      <c r="F73" s="8" t="s"/>
      <c r="G73" s="8" t="s"/>
      <c r="H73" s="6" t="str">
        <f>=IF(ISBLANK(B73),"","("&amp;""""&amp;SUBSTITUTE(B73,"
",""""&amp;","&amp;"""")&amp;""""&amp;")")</f>
        <v/>
      </c>
      <c r="I73" s="6" t="str">
        <f>=IF(ISBLANK(C73),"","("&amp;""""&amp;SUBSTITUTE(C73,"
",""""&amp;","&amp;"""")&amp;""""&amp;")")</f>
        <v/>
      </c>
      <c r="J73" s="6" t="str">
        <f>=IF(ISBLANK(D73),"","("&amp;""""&amp;SUBSTITUTE(D73,"
",""""&amp;","&amp;"""")&amp;""""&amp;")")</f>
        <v/>
      </c>
      <c r="K73" s="6">
        <f>=A73</f>
        <v>0</v>
      </c>
    </row>
    <row r="74" spans="2:11">
      <c r="B74" s="8" t="s"/>
      <c r="C74" s="8" t="s"/>
      <c r="D74" s="8" t="s"/>
      <c r="F74" s="8" t="s"/>
      <c r="G74" s="8" t="s"/>
      <c r="H74" s="6" t="str">
        <f>=IF(ISBLANK(B74),"","("&amp;""""&amp;SUBSTITUTE(B74,"
",""""&amp;","&amp;"""")&amp;""""&amp;")")</f>
        <v/>
      </c>
      <c r="I74" s="6" t="str">
        <f>=IF(ISBLANK(C74),"","("&amp;""""&amp;SUBSTITUTE(C74,"
",""""&amp;","&amp;"""")&amp;""""&amp;")")</f>
        <v/>
      </c>
      <c r="J74" s="6" t="str">
        <f>=IF(ISBLANK(D74),"","("&amp;""""&amp;SUBSTITUTE(D74,"
",""""&amp;","&amp;"""")&amp;""""&amp;")")</f>
        <v/>
      </c>
      <c r="K74" s="6">
        <f>=A74</f>
        <v>0</v>
      </c>
    </row>
    <row r="75" spans="2:11">
      <c r="B75" s="8" t="s"/>
      <c r="C75" s="8" t="s"/>
      <c r="D75" s="8" t="s"/>
      <c r="F75" s="8" t="s"/>
      <c r="G75" s="8" t="s"/>
      <c r="H75" s="6" t="str">
        <f>=IF(ISBLANK(B75),"","("&amp;""""&amp;SUBSTITUTE(B75,"
",""""&amp;","&amp;"""")&amp;""""&amp;")")</f>
        <v/>
      </c>
      <c r="I75" s="6" t="str">
        <f>=IF(ISBLANK(C75),"","("&amp;""""&amp;SUBSTITUTE(C75,"
",""""&amp;","&amp;"""")&amp;""""&amp;")")</f>
        <v/>
      </c>
      <c r="J75" s="6" t="str">
        <f>=IF(ISBLANK(D75),"","("&amp;""""&amp;SUBSTITUTE(D75,"
",""""&amp;","&amp;"""")&amp;""""&amp;")")</f>
        <v/>
      </c>
      <c r="K75" s="6">
        <f>=A75</f>
        <v>0</v>
      </c>
    </row>
    <row r="76" spans="2:11">
      <c r="B76" s="8" t="s"/>
      <c r="C76" s="8" t="s"/>
      <c r="D76" s="8" t="s"/>
      <c r="F76" s="8" t="s"/>
      <c r="G76" s="8" t="s"/>
      <c r="H76" s="6" t="str">
        <f>=IF(ISBLANK(B76),"","("&amp;""""&amp;SUBSTITUTE(B76,"
",""""&amp;","&amp;"""")&amp;""""&amp;")")</f>
        <v/>
      </c>
      <c r="I76" s="6" t="str">
        <f>=IF(ISBLANK(C76),"","("&amp;""""&amp;SUBSTITUTE(C76,"
",""""&amp;","&amp;"""")&amp;""""&amp;")")</f>
        <v/>
      </c>
      <c r="J76" s="6" t="str">
        <f>=IF(ISBLANK(D76),"","("&amp;""""&amp;SUBSTITUTE(D76,"
",""""&amp;","&amp;"""")&amp;""""&amp;")")</f>
        <v/>
      </c>
      <c r="K76" s="6">
        <f>=A76</f>
        <v>0</v>
      </c>
    </row>
    <row r="77" spans="2:11">
      <c r="B77" s="8" t="s"/>
      <c r="C77" s="8" t="s"/>
      <c r="D77" s="8" t="s"/>
      <c r="F77" s="8" t="s"/>
      <c r="G77" s="8" t="s"/>
      <c r="H77" s="6" t="str">
        <f>=IF(ISBLANK(B77),"","("&amp;""""&amp;SUBSTITUTE(B77,"
",""""&amp;","&amp;"""")&amp;""""&amp;")")</f>
        <v/>
      </c>
      <c r="I77" s="6" t="str">
        <f>=IF(ISBLANK(C77),"","("&amp;""""&amp;SUBSTITUTE(C77,"
",""""&amp;","&amp;"""")&amp;""""&amp;")")</f>
        <v/>
      </c>
      <c r="J77" s="6" t="str">
        <f>=IF(ISBLANK(D77),"","("&amp;""""&amp;SUBSTITUTE(D77,"
",""""&amp;","&amp;"""")&amp;""""&amp;")")</f>
        <v/>
      </c>
      <c r="K77" s="6">
        <f>=A77</f>
        <v>0</v>
      </c>
    </row>
    <row r="78" spans="2:11">
      <c r="B78" s="8" t="s"/>
      <c r="C78" s="8" t="s"/>
      <c r="D78" s="8" t="s"/>
      <c r="F78" s="8" t="s"/>
      <c r="G78" s="8" t="s"/>
      <c r="H78" s="6" t="str">
        <f>=IF(ISBLANK(B78),"","("&amp;""""&amp;SUBSTITUTE(B78,"
",""""&amp;","&amp;"""")&amp;""""&amp;")")</f>
        <v/>
      </c>
      <c r="I78" s="6" t="str">
        <f>=IF(ISBLANK(C78),"","("&amp;""""&amp;SUBSTITUTE(C78,"
",""""&amp;","&amp;"""")&amp;""""&amp;")")</f>
        <v/>
      </c>
      <c r="J78" s="6" t="str">
        <f>=IF(ISBLANK(D78),"","("&amp;""""&amp;SUBSTITUTE(D78,"
",""""&amp;","&amp;"""")&amp;""""&amp;")")</f>
        <v/>
      </c>
      <c r="K78" s="6">
        <f>=A78</f>
        <v>0</v>
      </c>
    </row>
    <row r="79" spans="2:11">
      <c r="B79" s="8" t="s"/>
      <c r="C79" s="8" t="s"/>
      <c r="D79" s="8" t="s"/>
      <c r="F79" s="8" t="s"/>
      <c r="G79" s="8" t="s"/>
      <c r="H79" s="6" t="str">
        <f>=IF(ISBLANK(B79),"","("&amp;""""&amp;SUBSTITUTE(B79,"
",""""&amp;","&amp;"""")&amp;""""&amp;")")</f>
        <v/>
      </c>
      <c r="I79" s="6" t="str">
        <f>=IF(ISBLANK(C79),"","("&amp;""""&amp;SUBSTITUTE(C79,"
",""""&amp;","&amp;"""")&amp;""""&amp;")")</f>
        <v/>
      </c>
      <c r="J79" s="6" t="str">
        <f>=IF(ISBLANK(D79),"","("&amp;""""&amp;SUBSTITUTE(D79,"
",""""&amp;","&amp;"""")&amp;""""&amp;")")</f>
        <v/>
      </c>
      <c r="K79" s="6">
        <f>=A79</f>
        <v>0</v>
      </c>
    </row>
    <row r="80" spans="2:11">
      <c r="B80" s="8" t="s"/>
      <c r="C80" s="8" t="s"/>
      <c r="D80" s="8" t="s"/>
      <c r="F80" s="8" t="s"/>
      <c r="G80" s="8" t="s"/>
      <c r="H80" s="6" t="str">
        <f>=IF(ISBLANK(B80),"","("&amp;""""&amp;SUBSTITUTE(B80,"
",""""&amp;","&amp;"""")&amp;""""&amp;")")</f>
        <v/>
      </c>
      <c r="I80" s="6" t="str">
        <f>=IF(ISBLANK(C80),"","("&amp;""""&amp;SUBSTITUTE(C80,"
",""""&amp;","&amp;"""")&amp;""""&amp;")")</f>
        <v/>
      </c>
      <c r="J80" s="6" t="str">
        <f>=IF(ISBLANK(D80),"","("&amp;""""&amp;SUBSTITUTE(D80,"
",""""&amp;","&amp;"""")&amp;""""&amp;")")</f>
        <v/>
      </c>
      <c r="K80" s="6">
        <f>=A80</f>
        <v>0</v>
      </c>
    </row>
    <row r="81" spans="2:11">
      <c r="B81" s="8" t="s"/>
      <c r="C81" s="8" t="s"/>
      <c r="D81" s="8" t="s"/>
      <c r="F81" s="8" t="s"/>
      <c r="G81" s="8" t="s"/>
      <c r="H81" s="6" t="str">
        <f>=IF(ISBLANK(B81),"","("&amp;""""&amp;SUBSTITUTE(B81,"
",""""&amp;","&amp;"""")&amp;""""&amp;")")</f>
        <v/>
      </c>
      <c r="I81" s="6" t="str">
        <f>=IF(ISBLANK(C81),"","("&amp;""""&amp;SUBSTITUTE(C81,"
",""""&amp;","&amp;"""")&amp;""""&amp;")")</f>
        <v/>
      </c>
      <c r="J81" s="6" t="str">
        <f>=IF(ISBLANK(D81),"","("&amp;""""&amp;SUBSTITUTE(D81,"
",""""&amp;","&amp;"""")&amp;""""&amp;")")</f>
        <v/>
      </c>
      <c r="K81" s="6">
        <f>=A81</f>
        <v>0</v>
      </c>
    </row>
    <row r="82" spans="2:11">
      <c r="B82" s="8" t="s"/>
      <c r="C82" s="8" t="s"/>
      <c r="D82" s="8" t="s"/>
      <c r="F82" s="8" t="s"/>
      <c r="G82" s="8" t="s"/>
      <c r="H82" s="6" t="str">
        <f>=IF(ISBLANK(B82),"","("&amp;""""&amp;SUBSTITUTE(B82,"
",""""&amp;","&amp;"""")&amp;""""&amp;")")</f>
        <v/>
      </c>
      <c r="I82" s="6" t="str">
        <f>=IF(ISBLANK(C82),"","("&amp;""""&amp;SUBSTITUTE(C82,"
",""""&amp;","&amp;"""")&amp;""""&amp;")")</f>
        <v/>
      </c>
      <c r="J82" s="6" t="str">
        <f>=IF(ISBLANK(D82),"","("&amp;""""&amp;SUBSTITUTE(D82,"
",""""&amp;","&amp;"""")&amp;""""&amp;")")</f>
        <v/>
      </c>
      <c r="K82" s="6">
        <f>=A82</f>
        <v>0</v>
      </c>
    </row>
    <row r="83" spans="2:11">
      <c r="B83" s="8" t="s"/>
      <c r="C83" s="8" t="s"/>
      <c r="D83" s="8" t="s"/>
      <c r="F83" s="8" t="s"/>
      <c r="G83" s="8" t="s"/>
      <c r="H83" s="6" t="str">
        <f>=IF(ISBLANK(B83),"","("&amp;""""&amp;SUBSTITUTE(B83,"
",""""&amp;","&amp;"""")&amp;""""&amp;")")</f>
        <v/>
      </c>
      <c r="I83" s="6" t="str">
        <f>=IF(ISBLANK(C83),"","("&amp;""""&amp;SUBSTITUTE(C83,"
",""""&amp;","&amp;"""")&amp;""""&amp;")")</f>
        <v/>
      </c>
      <c r="J83" s="6" t="str">
        <f>=IF(ISBLANK(D83),"","("&amp;""""&amp;SUBSTITUTE(D83,"
",""""&amp;","&amp;"""")&amp;""""&amp;")")</f>
        <v/>
      </c>
      <c r="K83" s="6">
        <f>=A83</f>
        <v>0</v>
      </c>
    </row>
    <row r="84" spans="2:11">
      <c r="B84" s="8" t="s"/>
      <c r="C84" s="8" t="s"/>
      <c r="D84" s="8" t="s"/>
      <c r="F84" s="8" t="s"/>
      <c r="G84" s="8" t="s"/>
      <c r="H84" s="6" t="str">
        <f>=IF(ISBLANK(B84),"","("&amp;""""&amp;SUBSTITUTE(B84,"
",""""&amp;","&amp;"""")&amp;""""&amp;")")</f>
        <v/>
      </c>
      <c r="I84" s="6" t="str">
        <f>=IF(ISBLANK(C84),"","("&amp;""""&amp;SUBSTITUTE(C84,"
",""""&amp;","&amp;"""")&amp;""""&amp;")")</f>
        <v/>
      </c>
      <c r="J84" s="6" t="str">
        <f>=IF(ISBLANK(D84),"","("&amp;""""&amp;SUBSTITUTE(D84,"
",""""&amp;","&amp;"""")&amp;""""&amp;")")</f>
        <v/>
      </c>
      <c r="K84" s="6">
        <f>=A84</f>
        <v>0</v>
      </c>
    </row>
    <row r="85" spans="2:11">
      <c r="B85" s="8" t="s"/>
      <c r="C85" s="8" t="s"/>
      <c r="D85" s="8" t="s"/>
      <c r="F85" s="8" t="s"/>
      <c r="G85" s="8" t="s"/>
      <c r="H85" s="6" t="str">
        <f>=IF(ISBLANK(B85),"","("&amp;""""&amp;SUBSTITUTE(B85,"
",""""&amp;","&amp;"""")&amp;""""&amp;")")</f>
        <v/>
      </c>
      <c r="I85" s="6" t="str">
        <f>=IF(ISBLANK(C85),"","("&amp;""""&amp;SUBSTITUTE(C85,"
",""""&amp;","&amp;"""")&amp;""""&amp;")")</f>
        <v/>
      </c>
      <c r="J85" s="6" t="str">
        <f>=IF(ISBLANK(D85),"","("&amp;""""&amp;SUBSTITUTE(D85,"
",""""&amp;","&amp;"""")&amp;""""&amp;")")</f>
        <v/>
      </c>
      <c r="K85" s="6">
        <f>=A85</f>
        <v>0</v>
      </c>
    </row>
    <row r="86" spans="2:11">
      <c r="B86" s="8" t="s"/>
      <c r="C86" s="8" t="s"/>
      <c r="D86" s="8" t="s"/>
      <c r="F86" s="8" t="s"/>
      <c r="G86" s="8" t="s"/>
      <c r="H86" s="6" t="str">
        <f>=IF(ISBLANK(B86),"","("&amp;""""&amp;SUBSTITUTE(B86,"
",""""&amp;","&amp;"""")&amp;""""&amp;")")</f>
        <v/>
      </c>
      <c r="I86" s="6" t="str">
        <f>=IF(ISBLANK(C86),"","("&amp;""""&amp;SUBSTITUTE(C86,"
",""""&amp;","&amp;"""")&amp;""""&amp;")")</f>
        <v/>
      </c>
      <c r="J86" s="6" t="str">
        <f>=IF(ISBLANK(D86),"","("&amp;""""&amp;SUBSTITUTE(D86,"
",""""&amp;","&amp;"""")&amp;""""&amp;")")</f>
        <v/>
      </c>
      <c r="K86" s="6">
        <f>=A86</f>
        <v>0</v>
      </c>
    </row>
    <row r="87" spans="2:11">
      <c r="B87" s="8" t="s"/>
      <c r="C87" s="8" t="s"/>
      <c r="D87" s="8" t="s"/>
      <c r="F87" s="8" t="s"/>
      <c r="G87" s="8" t="s"/>
      <c r="H87" s="6" t="str">
        <f>=IF(ISBLANK(B87),"","("&amp;""""&amp;SUBSTITUTE(B87,"
",""""&amp;","&amp;"""")&amp;""""&amp;")")</f>
        <v/>
      </c>
      <c r="I87" s="6" t="str">
        <f>=IF(ISBLANK(C87),"","("&amp;""""&amp;SUBSTITUTE(C87,"
",""""&amp;","&amp;"""")&amp;""""&amp;")")</f>
        <v/>
      </c>
      <c r="J87" s="6" t="str">
        <f>=IF(ISBLANK(D87),"","("&amp;""""&amp;SUBSTITUTE(D87,"
",""""&amp;","&amp;"""")&amp;""""&amp;")")</f>
        <v/>
      </c>
      <c r="K87" s="6">
        <f>=A87</f>
        <v>0</v>
      </c>
    </row>
    <row r="88" spans="2:11">
      <c r="B88" s="8" t="s"/>
      <c r="C88" s="8" t="s"/>
      <c r="D88" s="8" t="s"/>
      <c r="F88" s="8" t="s"/>
      <c r="G88" s="8" t="s"/>
      <c r="H88" s="6" t="str">
        <f>=IF(ISBLANK(B88),"","("&amp;""""&amp;SUBSTITUTE(B88,"
",""""&amp;","&amp;"""")&amp;""""&amp;")")</f>
        <v/>
      </c>
      <c r="I88" s="6" t="str">
        <f>=IF(ISBLANK(C88),"","("&amp;""""&amp;SUBSTITUTE(C88,"
",""""&amp;","&amp;"""")&amp;""""&amp;")")</f>
        <v/>
      </c>
      <c r="J88" s="6" t="str">
        <f>=IF(ISBLANK(D88),"","("&amp;""""&amp;SUBSTITUTE(D88,"
",""""&amp;","&amp;"""")&amp;""""&amp;")")</f>
        <v/>
      </c>
      <c r="K88" s="6">
        <f>=A88</f>
        <v>0</v>
      </c>
    </row>
    <row r="89" spans="2:11">
      <c r="B89" s="8" t="s"/>
      <c r="C89" s="8" t="s"/>
      <c r="D89" s="8" t="s"/>
      <c r="F89" s="8" t="s"/>
      <c r="G89" s="8" t="s"/>
      <c r="H89" s="6" t="s"/>
      <c r="I89" s="6" t="str">
        <f>=IF(ISBLANK(C89),"","("&amp;""""&amp;SUBSTITUTE(C89,"
",""""&amp;","&amp;"""")&amp;""""&amp;")")</f>
        <v/>
      </c>
      <c r="J89" s="6" t="str">
        <f>=IF(ISBLANK(D89),"","("&amp;""""&amp;SUBSTITUTE(D89,"
",""""&amp;","&amp;"""")&amp;""""&amp;")")</f>
        <v/>
      </c>
      <c r="K89" s="6">
        <f>=A89</f>
        <v>0</v>
      </c>
    </row>
    <row r="90" spans="2:11">
      <c r="B90" s="8" t="s"/>
      <c r="C90" s="8" t="s"/>
      <c r="D90" s="8" t="s"/>
      <c r="F90" s="8" t="s"/>
      <c r="G90" s="8" t="s"/>
      <c r="H90" s="6" t="s"/>
      <c r="I90" s="6" t="str">
        <f>=IF(ISBLANK(C90),"","("&amp;""""&amp;SUBSTITUTE(C90,"
",""""&amp;","&amp;"""")&amp;""""&amp;")")</f>
        <v/>
      </c>
      <c r="J90" s="6" t="str">
        <f>=IF(ISBLANK(D90),"","("&amp;""""&amp;SUBSTITUTE(D90,"
",""""&amp;","&amp;"""")&amp;""""&amp;")")</f>
        <v/>
      </c>
      <c r="K90" s="6">
        <f>=A90</f>
        <v>0</v>
      </c>
    </row>
    <row r="91" spans="2:11">
      <c r="B91" s="8" t="s"/>
      <c r="C91" s="8" t="s"/>
      <c r="D91" s="8" t="s"/>
      <c r="F91" s="8" t="s"/>
      <c r="G91" s="8" t="s"/>
      <c r="H91" s="6" t="s"/>
      <c r="I91" s="6" t="str">
        <f>=IF(ISBLANK(C91),"","("&amp;""""&amp;SUBSTITUTE(C91,"
",""""&amp;","&amp;"""")&amp;""""&amp;")")</f>
        <v/>
      </c>
      <c r="J91" s="6" t="str">
        <f>=IF(ISBLANK(D91),"","("&amp;""""&amp;SUBSTITUTE(D91,"
",""""&amp;","&amp;"""")&amp;""""&amp;")")</f>
        <v/>
      </c>
      <c r="K91" s="6">
        <f>=A91</f>
        <v>0</v>
      </c>
    </row>
    <row r="92" spans="2:11">
      <c r="B92" s="8" t="s"/>
      <c r="C92" s="8" t="s"/>
      <c r="D92" s="8" t="s"/>
      <c r="F92" s="8" t="s"/>
      <c r="G92" s="8" t="s"/>
      <c r="H92" s="6" t="s"/>
      <c r="I92" s="6" t="str">
        <f>=IF(ISBLANK(C92),"","("&amp;""""&amp;SUBSTITUTE(C92,"
",""""&amp;","&amp;"""")&amp;""""&amp;")")</f>
        <v/>
      </c>
      <c r="J92" s="6" t="str">
        <f>=IF(ISBLANK(D92),"","("&amp;""""&amp;SUBSTITUTE(D92,"
",""""&amp;","&amp;"""")&amp;""""&amp;")")</f>
        <v/>
      </c>
      <c r="K92" s="6">
        <f>=A92</f>
        <v>0</v>
      </c>
    </row>
    <row r="93" spans="2:11">
      <c r="B93" s="8" t="s"/>
      <c r="C93" s="8" t="s"/>
      <c r="D93" s="8" t="s"/>
      <c r="F93" s="8" t="s"/>
      <c r="G93" s="8" t="s"/>
      <c r="H93" s="6" t="s"/>
      <c r="I93" s="6" t="str">
        <f>=IF(ISBLANK(C93),"","("&amp;""""&amp;SUBSTITUTE(C93,"
",""""&amp;","&amp;"""")&amp;""""&amp;")")</f>
        <v/>
      </c>
      <c r="J93" s="6" t="str">
        <f>=IF(ISBLANK(D93),"","("&amp;""""&amp;SUBSTITUTE(D93,"
",""""&amp;","&amp;"""")&amp;""""&amp;")")</f>
        <v/>
      </c>
      <c r="K93" s="6">
        <f>=A93</f>
        <v>0</v>
      </c>
    </row>
    <row r="94" spans="2:11">
      <c r="B94" s="8" t="s"/>
      <c r="C94" s="8" t="s"/>
      <c r="D94" s="8" t="s"/>
      <c r="F94" s="8" t="s"/>
      <c r="G94" s="8" t="s"/>
      <c r="H94" s="6" t="s"/>
      <c r="I94" s="6" t="str">
        <f>=IF(ISBLANK(C94),"","("&amp;""""&amp;SUBSTITUTE(C94,"
",""""&amp;","&amp;"""")&amp;""""&amp;")")</f>
        <v/>
      </c>
      <c r="J94" s="6" t="str">
        <f>=IF(ISBLANK(D94),"","("&amp;""""&amp;SUBSTITUTE(D94,"
",""""&amp;","&amp;"""")&amp;""""&amp;")")</f>
        <v/>
      </c>
      <c r="K94" s="6">
        <f>=A94</f>
        <v>0</v>
      </c>
    </row>
    <row r="95" spans="2:11">
      <c r="B95" s="8" t="s"/>
      <c r="C95" s="8" t="s"/>
      <c r="D95" s="8" t="s"/>
      <c r="F95" s="8" t="s"/>
      <c r="G95" s="8" t="s"/>
      <c r="H95" s="6" t="s"/>
      <c r="I95" s="6" t="str">
        <f>=IF(ISBLANK(C95),"","("&amp;""""&amp;SUBSTITUTE(C95,"
",""""&amp;","&amp;"""")&amp;""""&amp;")")</f>
        <v/>
      </c>
      <c r="J95" s="6" t="str">
        <f>=IF(ISBLANK(D95),"","("&amp;""""&amp;SUBSTITUTE(D95,"
",""""&amp;","&amp;"""")&amp;""""&amp;")")</f>
        <v/>
      </c>
      <c r="K95" s="6">
        <f>=A95</f>
        <v>0</v>
      </c>
    </row>
    <row r="96" spans="2:11">
      <c r="B96" s="8" t="s"/>
      <c r="C96" s="8" t="s"/>
      <c r="D96" s="8" t="s"/>
      <c r="F96" s="8" t="s"/>
      <c r="G96" s="8" t="s"/>
      <c r="H96" s="6" t="s"/>
      <c r="I96" s="6" t="str">
        <f>=IF(ISBLANK(C96),"","("&amp;""""&amp;SUBSTITUTE(C96,"
",""""&amp;","&amp;"""")&amp;""""&amp;")")</f>
        <v/>
      </c>
      <c r="J96" s="6" t="str">
        <f>=IF(ISBLANK(D96),"","("&amp;""""&amp;SUBSTITUTE(D96,"
",""""&amp;","&amp;"""")&amp;""""&amp;")")</f>
        <v/>
      </c>
      <c r="K96" s="6">
        <f>=A96</f>
        <v>0</v>
      </c>
    </row>
    <row r="97" spans="2:11">
      <c r="B97" s="8" t="s"/>
      <c r="C97" s="8" t="s"/>
      <c r="D97" s="8" t="s"/>
      <c r="F97" s="8" t="s"/>
      <c r="G97" s="8" t="s"/>
      <c r="H97" s="6" t="s"/>
      <c r="I97" s="6" t="str">
        <f>=IF(ISBLANK(C97),"","("&amp;""""&amp;SUBSTITUTE(C97,"
",""""&amp;","&amp;"""")&amp;""""&amp;")")</f>
        <v/>
      </c>
      <c r="J97" s="6" t="str">
        <f>=IF(ISBLANK(D97),"","("&amp;""""&amp;SUBSTITUTE(D97,"
",""""&amp;","&amp;"""")&amp;""""&amp;")")</f>
        <v/>
      </c>
      <c r="K97" s="6">
        <f>=A97</f>
        <v>0</v>
      </c>
    </row>
    <row r="98" spans="2:11">
      <c r="B98" s="8" t="s"/>
      <c r="C98" s="8" t="s"/>
      <c r="D98" s="8" t="s"/>
      <c r="F98" s="8" t="s"/>
      <c r="G98" s="8" t="s"/>
      <c r="H98" s="6" t="s"/>
      <c r="I98" s="6" t="str">
        <f>=IF(ISBLANK(C98),"","("&amp;""""&amp;SUBSTITUTE(C98,"
",""""&amp;","&amp;"""")&amp;""""&amp;")")</f>
        <v/>
      </c>
      <c r="J98" s="6" t="str">
        <f>=IF(ISBLANK(D98),"","("&amp;""""&amp;SUBSTITUTE(D98,"
",""""&amp;","&amp;"""")&amp;""""&amp;")")</f>
        <v/>
      </c>
      <c r="K98" s="6" t="s"/>
    </row>
    <row r="99" spans="2:11">
      <c r="B99" s="8" t="s"/>
      <c r="C99" s="8" t="s"/>
      <c r="D99" s="8" t="s"/>
      <c r="F99" s="8" t="s"/>
      <c r="G99" s="8" t="s"/>
      <c r="H99" s="6" t="s"/>
      <c r="I99" s="6" t="str">
        <f>=IF(ISBLANK(C99),"","("&amp;""""&amp;SUBSTITUTE(C99,"
",""""&amp;","&amp;"""")&amp;""""&amp;")")</f>
        <v/>
      </c>
      <c r="J99" s="6" t="str">
        <f>=IF(ISBLANK(D99),"","("&amp;""""&amp;SUBSTITUTE(D99,"
",""""&amp;","&amp;"""")&amp;""""&amp;")")</f>
        <v/>
      </c>
      <c r="K99" s="6" t="s"/>
    </row>
    <row r="100" spans="2:11">
      <c r="B100" s="8" t="s"/>
      <c r="C100" s="8" t="s"/>
      <c r="D100" s="8" t="s"/>
      <c r="F100" s="8" t="s"/>
      <c r="G100" s="8" t="s"/>
      <c r="H100" s="6" t="s"/>
      <c r="I100" s="6" t="str">
        <f>=IF(ISBLANK(C100),"","("&amp;""""&amp;SUBSTITUTE(C100,"
",""""&amp;","&amp;"""")&amp;""""&amp;")")</f>
        <v/>
      </c>
      <c r="J100" s="6" t="str">
        <f>=IF(ISBLANK(D100),"","("&amp;""""&amp;SUBSTITUTE(D100,"
",""""&amp;","&amp;"""")&amp;""""&amp;")")</f>
        <v/>
      </c>
      <c r="K100" s="6" t="s"/>
    </row>
    <row r="101" spans="2:11">
      <c r="B101" s="8" t="s"/>
      <c r="C101" s="8" t="s"/>
      <c r="D101" s="8" t="s"/>
      <c r="F101" s="8" t="s"/>
      <c r="G101" s="8" t="s"/>
      <c r="H101" s="6" t="s"/>
      <c r="I101" s="6" t="str">
        <f>=IF(ISBLANK(C101),"","("&amp;""""&amp;SUBSTITUTE(C101,"
",""""&amp;","&amp;"""")&amp;""""&amp;")")</f>
        <v/>
      </c>
      <c r="J101" s="6" t="str">
        <f>=IF(ISBLANK(D101),"","("&amp;""""&amp;SUBSTITUTE(D101,"
",""""&amp;","&amp;"""")&amp;""""&amp;")")</f>
        <v/>
      </c>
      <c r="K101" s="6" t="s"/>
    </row>
    <row r="102" spans="2:11">
      <c r="B102" s="8" t="s"/>
      <c r="C102" s="8" t="s"/>
      <c r="D102" s="8" t="s"/>
      <c r="F102" s="8" t="s"/>
      <c r="G102" s="8" t="s"/>
      <c r="H102" s="6" t="s"/>
      <c r="I102" s="6" t="str">
        <f>=IF(ISBLANK(C102),"","("&amp;""""&amp;SUBSTITUTE(C102,"
",""""&amp;","&amp;"""")&amp;""""&amp;")")</f>
        <v/>
      </c>
      <c r="J102" s="6" t="str">
        <f>=IF(ISBLANK(D102),"","("&amp;""""&amp;SUBSTITUTE(D102,"
",""""&amp;","&amp;"""")&amp;""""&amp;")")</f>
        <v/>
      </c>
      <c r="K102" s="6" t="s"/>
    </row>
    <row r="103" spans="2:11">
      <c r="B103" s="8" t="s"/>
      <c r="C103" s="8" t="s"/>
      <c r="D103" s="8" t="s"/>
      <c r="F103" s="8" t="s"/>
      <c r="G103" s="8" t="s"/>
      <c r="H103" s="6" t="s"/>
      <c r="I103" s="6" t="str">
        <f>=IF(ISBLANK(C103),"","("&amp;""""&amp;SUBSTITUTE(C103,"
",""""&amp;","&amp;"""")&amp;""""&amp;")")</f>
        <v/>
      </c>
      <c r="J103" s="6" t="str">
        <f>=IF(ISBLANK(D103),"","("&amp;""""&amp;SUBSTITUTE(D103,"
",""""&amp;","&amp;"""")&amp;""""&amp;")")</f>
        <v/>
      </c>
      <c r="K103" s="6" t="s"/>
    </row>
    <row r="104" spans="2:11">
      <c r="B104" s="8" t="s"/>
      <c r="C104" s="8" t="s"/>
      <c r="D104" s="8" t="s"/>
      <c r="F104" s="8" t="s"/>
      <c r="G104" s="8" t="s"/>
      <c r="H104" s="6" t="s"/>
      <c r="I104" s="6" t="str">
        <f>=IF(ISBLANK(C104),"","("&amp;""""&amp;SUBSTITUTE(C104,"
",""""&amp;","&amp;"""")&amp;""""&amp;")")</f>
        <v/>
      </c>
      <c r="J104" s="6" t="str">
        <f>=IF(ISBLANK(D104),"","("&amp;""""&amp;SUBSTITUTE(D104,"
",""""&amp;","&amp;"""")&amp;""""&amp;")")</f>
        <v/>
      </c>
      <c r="K104" s="6" t="s"/>
    </row>
    <row r="105" spans="2:11">
      <c r="B105" s="8" t="s"/>
      <c r="C105" s="8" t="s"/>
      <c r="D105" s="8" t="s"/>
      <c r="F105" s="8" t="s"/>
      <c r="G105" s="8" t="s"/>
      <c r="H105" s="6" t="s"/>
      <c r="I105" s="6" t="str">
        <f>=IF(ISBLANK(C105),"","("&amp;""""&amp;SUBSTITUTE(C105,"
",""""&amp;","&amp;"""")&amp;""""&amp;")")</f>
        <v/>
      </c>
      <c r="J105" s="6" t="str">
        <f>=IF(ISBLANK(D105),"","("&amp;""""&amp;SUBSTITUTE(D105,"
",""""&amp;","&amp;"""")&amp;""""&amp;")")</f>
        <v/>
      </c>
      <c r="K105" s="6" t="s"/>
    </row>
    <row r="106" spans="2:11">
      <c r="B106" s="8" t="s"/>
      <c r="C106" s="8" t="s"/>
      <c r="D106" s="8" t="s"/>
      <c r="F106" s="8" t="s"/>
      <c r="G106" s="8" t="s"/>
      <c r="H106" s="6" t="s"/>
      <c r="I106" s="6" t="str">
        <f>=IF(ISBLANK(C106),"","("&amp;""""&amp;SUBSTITUTE(C106,"
",""""&amp;","&amp;"""")&amp;""""&amp;")")</f>
        <v/>
      </c>
      <c r="J106" s="6" t="str">
        <f>=IF(ISBLANK(D106),"","("&amp;""""&amp;SUBSTITUTE(D106,"
",""""&amp;","&amp;"""")&amp;""""&amp;")")</f>
        <v/>
      </c>
      <c r="K106" s="6" t="s"/>
    </row>
    <row r="107" spans="2:11">
      <c r="B107" s="8" t="s"/>
      <c r="C107" s="8" t="s"/>
      <c r="D107" s="8" t="s"/>
      <c r="F107" s="8" t="s"/>
      <c r="G107" s="8" t="s"/>
      <c r="H107" s="6" t="s"/>
      <c r="I107" s="6" t="str">
        <f>=IF(ISBLANK(C107),"","("&amp;""""&amp;SUBSTITUTE(C107,"
",""""&amp;","&amp;"""")&amp;""""&amp;")")</f>
        <v/>
      </c>
      <c r="J107" s="6" t="str">
        <f>=IF(ISBLANK(D107),"","("&amp;""""&amp;SUBSTITUTE(D107,"
",""""&amp;","&amp;"""")&amp;""""&amp;")")</f>
        <v/>
      </c>
      <c r="K107" s="6" t="s"/>
    </row>
    <row r="108" spans="2:11">
      <c r="B108" s="8" t="s"/>
      <c r="C108" s="8" t="s"/>
      <c r="D108" s="8" t="s"/>
      <c r="F108" s="8" t="s"/>
      <c r="G108" s="8" t="s"/>
      <c r="H108" s="6" t="s"/>
      <c r="I108" s="6" t="str">
        <f>=IF(ISBLANK(C108),"","("&amp;""""&amp;SUBSTITUTE(C108,"
",""""&amp;","&amp;"""")&amp;""""&amp;")")</f>
        <v/>
      </c>
      <c r="J108" s="6" t="str">
        <f>=IF(ISBLANK(D108),"","("&amp;""""&amp;SUBSTITUTE(D108,"
",""""&amp;","&amp;"""")&amp;""""&amp;")")</f>
        <v/>
      </c>
      <c r="K108" s="6" t="s"/>
    </row>
    <row r="109" spans="2:11">
      <c r="B109" s="8" t="s"/>
      <c r="C109" s="8" t="s"/>
      <c r="D109" s="8" t="s"/>
      <c r="F109" s="8" t="s"/>
      <c r="G109" s="8" t="s"/>
      <c r="H109" s="6" t="s"/>
      <c r="I109" s="6" t="str">
        <f>=IF(ISBLANK(C109),"","("&amp;""""&amp;SUBSTITUTE(C109,"
",""""&amp;","&amp;"""")&amp;""""&amp;")")</f>
        <v/>
      </c>
      <c r="J109" s="6" t="str">
        <f>=IF(ISBLANK(D109),"","("&amp;""""&amp;SUBSTITUTE(D109,"
",""""&amp;","&amp;"""")&amp;""""&amp;")")</f>
        <v/>
      </c>
      <c r="K109" s="6" t="s"/>
    </row>
    <row r="110" spans="2:11">
      <c r="B110" s="8" t="s"/>
      <c r="C110" s="8" t="s"/>
      <c r="D110" s="8" t="s"/>
      <c r="F110" s="8" t="s"/>
      <c r="G110" s="8" t="s"/>
      <c r="H110" s="6" t="s"/>
      <c r="I110" s="6" t="str">
        <f>=IF(ISBLANK(C110),"","("&amp;""""&amp;SUBSTITUTE(C110,"
",""""&amp;","&amp;"""")&amp;""""&amp;")")</f>
        <v/>
      </c>
      <c r="J110" s="6" t="str">
        <f>=IF(ISBLANK(D110),"","("&amp;""""&amp;SUBSTITUTE(D110,"
",""""&amp;","&amp;"""")&amp;""""&amp;")")</f>
        <v/>
      </c>
      <c r="K110" s="6" t="s"/>
    </row>
    <row r="111" spans="2:11">
      <c r="B111" s="8" t="s"/>
      <c r="C111" s="8" t="s"/>
      <c r="D111" s="8" t="s"/>
      <c r="F111" s="8" t="s"/>
      <c r="G111" s="8" t="s"/>
      <c r="H111" s="6" t="s"/>
      <c r="I111" s="6" t="str">
        <f>=IF(ISBLANK(C111),"","("&amp;""""&amp;SUBSTITUTE(C111,"
",""""&amp;","&amp;"""")&amp;""""&amp;")")</f>
        <v/>
      </c>
      <c r="J111" s="6" t="str">
        <f>=IF(ISBLANK(D111),"","("&amp;""""&amp;SUBSTITUTE(D111,"
",""""&amp;","&amp;"""")&amp;""""&amp;")")</f>
        <v/>
      </c>
      <c r="K111" s="6" t="s"/>
    </row>
    <row r="112" spans="2:11">
      <c r="B112" s="8" t="s"/>
      <c r="C112" s="8" t="s"/>
      <c r="D112" s="8" t="s"/>
      <c r="F112" s="8" t="s"/>
      <c r="G112" s="8" t="s"/>
      <c r="H112" s="6" t="s"/>
      <c r="I112" s="6" t="str">
        <f>=IF(ISBLANK(C112),"","("&amp;""""&amp;SUBSTITUTE(C112,"
",""""&amp;","&amp;"""")&amp;""""&amp;")")</f>
        <v/>
      </c>
      <c r="J112" s="6" t="str">
        <f>=IF(ISBLANK(D112),"","("&amp;""""&amp;SUBSTITUTE(D112,"
",""""&amp;","&amp;"""")&amp;""""&amp;")")</f>
        <v/>
      </c>
      <c r="K112" s="6" t="s"/>
    </row>
    <row r="113" spans="2:11">
      <c r="B113" s="8" t="s"/>
      <c r="C113" s="8" t="s"/>
      <c r="D113" s="8" t="s"/>
      <c r="F113" s="8" t="s"/>
      <c r="G113" s="8" t="s"/>
      <c r="H113" s="6" t="s"/>
      <c r="I113" s="6" t="str">
        <f>=IF(ISBLANK(C113),"","("&amp;""""&amp;SUBSTITUTE(C113,"
",""""&amp;","&amp;"""")&amp;""""&amp;")")</f>
        <v/>
      </c>
      <c r="J113" s="6" t="str">
        <f>=IF(ISBLANK(D113),"","("&amp;""""&amp;SUBSTITUTE(D113,"
",""""&amp;","&amp;"""")&amp;""""&amp;")")</f>
        <v/>
      </c>
      <c r="K113" s="6" t="s"/>
    </row>
    <row r="114" spans="2:11">
      <c r="B114" s="8" t="s"/>
      <c r="C114" s="8" t="s"/>
      <c r="D114" s="8" t="s"/>
      <c r="F114" s="8" t="s"/>
      <c r="G114" s="8" t="s"/>
      <c r="H114" s="6" t="s"/>
      <c r="I114" s="6" t="str">
        <f>=IF(ISBLANK(C114),"","("&amp;""""&amp;SUBSTITUTE(C114,"
",""""&amp;","&amp;"""")&amp;""""&amp;")")</f>
        <v/>
      </c>
      <c r="J114" s="6" t="str">
        <f>=IF(ISBLANK(D114),"","("&amp;""""&amp;SUBSTITUTE(D114,"
",""""&amp;","&amp;"""")&amp;""""&amp;")")</f>
        <v/>
      </c>
      <c r="K114" s="6" t="s"/>
    </row>
    <row r="115" spans="2:11">
      <c r="B115" s="8" t="s"/>
      <c r="C115" s="8" t="s"/>
      <c r="D115" s="8" t="s"/>
      <c r="F115" s="8" t="s"/>
      <c r="G115" s="8" t="s"/>
      <c r="H115" s="6" t="s"/>
      <c r="I115" s="6" t="str">
        <f>=IF(ISBLANK(C115),"","("&amp;""""&amp;SUBSTITUTE(C115,"
",""""&amp;","&amp;"""")&amp;""""&amp;")")</f>
        <v/>
      </c>
      <c r="J115" s="6" t="str">
        <f>=IF(ISBLANK(D115),"","("&amp;""""&amp;SUBSTITUTE(D115,"
",""""&amp;","&amp;"""")&amp;""""&amp;")")</f>
        <v/>
      </c>
      <c r="K115" s="6" t="s"/>
    </row>
    <row r="116" spans="2:11">
      <c r="B116" s="8" t="s"/>
      <c r="C116" s="8" t="s"/>
      <c r="D116" s="8" t="s"/>
      <c r="F116" s="8" t="s"/>
      <c r="G116" s="8" t="s"/>
      <c r="H116" s="6" t="s"/>
      <c r="I116" s="6" t="str">
        <f>=IF(ISBLANK(C116),"","("&amp;""""&amp;SUBSTITUTE(C116,"
",""""&amp;","&amp;"""")&amp;""""&amp;")")</f>
        <v/>
      </c>
      <c r="J116" s="6" t="str">
        <f>=IF(ISBLANK(D116),"","("&amp;""""&amp;SUBSTITUTE(D116,"
",""""&amp;","&amp;"""")&amp;""""&amp;")")</f>
        <v/>
      </c>
      <c r="K116" s="6" t="s"/>
    </row>
    <row r="117" spans="2:11">
      <c r="B117" s="8" t="s"/>
      <c r="C117" s="8" t="s"/>
      <c r="D117" s="8" t="s"/>
      <c r="F117" s="8" t="s"/>
      <c r="G117" s="8" t="s"/>
      <c r="H117" s="6" t="s"/>
      <c r="I117" s="6" t="str">
        <f>=IF(ISBLANK(C117),"","("&amp;""""&amp;SUBSTITUTE(C117,"
",""""&amp;","&amp;"""")&amp;""""&amp;")")</f>
        <v/>
      </c>
      <c r="J117" s="6" t="str">
        <f>=IF(ISBLANK(D117),"","("&amp;""""&amp;SUBSTITUTE(D117,"
",""""&amp;","&amp;"""")&amp;""""&amp;")")</f>
        <v/>
      </c>
      <c r="K117" s="6" t="s"/>
    </row>
    <row r="118" spans="2:11">
      <c r="B118" s="8" t="s"/>
      <c r="C118" s="8" t="s"/>
      <c r="D118" s="8" t="s"/>
      <c r="F118" s="8" t="s"/>
      <c r="G118" s="8" t="s"/>
      <c r="H118" s="6" t="s"/>
      <c r="I118" s="6" t="str">
        <f>=IF(ISBLANK(C118),"","("&amp;""""&amp;SUBSTITUTE(C118,"
",""""&amp;","&amp;"""")&amp;""""&amp;")")</f>
        <v/>
      </c>
      <c r="J118" s="6" t="str">
        <f>=IF(ISBLANK(D118),"","("&amp;""""&amp;SUBSTITUTE(D118,"
",""""&amp;","&amp;"""")&amp;""""&amp;")")</f>
        <v/>
      </c>
      <c r="K118" s="6" t="s"/>
    </row>
    <row r="119" spans="2:11">
      <c r="B119" s="8" t="s"/>
      <c r="C119" s="8" t="s"/>
      <c r="D119" s="8" t="s"/>
      <c r="F119" s="8" t="s"/>
      <c r="G119" s="8" t="s"/>
      <c r="H119" s="6" t="s"/>
      <c r="I119" s="6" t="str">
        <f>=IF(ISBLANK(C119),"","("&amp;""""&amp;SUBSTITUTE(C119,"
",""""&amp;","&amp;"""")&amp;""""&amp;")")</f>
        <v/>
      </c>
      <c r="J119" s="6" t="str">
        <f>=IF(ISBLANK(D119),"","("&amp;""""&amp;SUBSTITUTE(D119,"
",""""&amp;","&amp;"""")&amp;""""&amp;")")</f>
        <v/>
      </c>
      <c r="K119" s="6" t="s"/>
    </row>
    <row r="120" spans="2:11">
      <c r="B120" s="8" t="s"/>
      <c r="C120" s="8" t="s"/>
      <c r="D120" s="8" t="s"/>
      <c r="F120" s="8" t="s"/>
      <c r="G120" s="8" t="s"/>
      <c r="H120" s="6" t="s"/>
      <c r="I120" s="6" t="str">
        <f>=IF(ISBLANK(C120),"","("&amp;""""&amp;SUBSTITUTE(C120,"
",""""&amp;","&amp;"""")&amp;""""&amp;")")</f>
        <v/>
      </c>
      <c r="J120" s="6" t="str">
        <f>=IF(ISBLANK(D120),"","("&amp;""""&amp;SUBSTITUTE(D120,"
",""""&amp;","&amp;"""")&amp;""""&amp;")")</f>
        <v/>
      </c>
      <c r="K120" s="6" t="s"/>
    </row>
    <row r="121" spans="2:11">
      <c r="B121" s="8" t="s"/>
      <c r="C121" s="8" t="s"/>
      <c r="D121" s="8" t="s"/>
      <c r="F121" s="8" t="s"/>
      <c r="G121" s="8" t="s"/>
      <c r="H121" s="6" t="s"/>
      <c r="I121" s="6" t="s"/>
      <c r="J121" s="6" t="str">
        <f>=IF(ISBLANK(D121),"","("&amp;""""&amp;SUBSTITUTE(D121,"
",""""&amp;","&amp;"""")&amp;""""&amp;")")</f>
        <v/>
      </c>
      <c r="K121" s="6" t="s"/>
    </row>
    <row r="122" spans="2:11">
      <c r="B122" s="8" t="s"/>
      <c r="C122" s="8" t="s"/>
      <c r="D122" s="8" t="s"/>
      <c r="F122" s="8" t="s"/>
      <c r="G122" s="8" t="s"/>
      <c r="H122" s="6" t="s"/>
      <c r="I122" s="6" t="s"/>
      <c r="J122" s="6" t="str">
        <f>=IF(ISBLANK(D122),"","("&amp;""""&amp;SUBSTITUTE(D122,"
",""""&amp;","&amp;"""")&amp;""""&amp;")")</f>
        <v/>
      </c>
      <c r="K122" s="6" t="s"/>
    </row>
    <row r="123" spans="2:11">
      <c r="B123" s="8" t="s"/>
      <c r="C123" s="8" t="s"/>
      <c r="D123" s="8" t="s"/>
      <c r="F123" s="8" t="s"/>
      <c r="G123" s="8" t="s"/>
      <c r="H123" s="6" t="s"/>
      <c r="I123" s="6" t="s"/>
      <c r="J123" s="6" t="str">
        <f>=IF(ISBLANK(D123),"","("&amp;""""&amp;SUBSTITUTE(D123,"
",""""&amp;","&amp;"""")&amp;""""&amp;")")</f>
        <v/>
      </c>
      <c r="K123" s="6" t="s"/>
    </row>
    <row r="124" spans="2:11">
      <c r="B124" s="8" t="s"/>
      <c r="C124" s="8" t="s"/>
      <c r="D124" s="8" t="s"/>
      <c r="F124" s="8" t="s"/>
      <c r="G124" s="8" t="s"/>
      <c r="H124" s="6" t="s"/>
      <c r="I124" s="6" t="s"/>
      <c r="J124" s="6" t="str">
        <f>=IF(ISBLANK(D124),"","("&amp;""""&amp;SUBSTITUTE(D124,"
",""""&amp;","&amp;"""")&amp;""""&amp;")")</f>
        <v/>
      </c>
      <c r="K124" s="6" t="s"/>
    </row>
    <row r="125" spans="2:11">
      <c r="B125" s="8" t="s"/>
      <c r="C125" s="8" t="s"/>
      <c r="D125" s="8" t="s"/>
      <c r="F125" s="8" t="s"/>
      <c r="G125" s="8" t="s"/>
      <c r="H125" s="6" t="s"/>
      <c r="I125" s="6" t="s"/>
      <c r="J125" s="6" t="str">
        <f>=IF(ISBLANK(D125),"","("&amp;""""&amp;SUBSTITUTE(D125,"
",""""&amp;","&amp;"""")&amp;""""&amp;")")</f>
        <v/>
      </c>
      <c r="K125" s="6" t="s"/>
    </row>
    <row r="126" spans="2:11">
      <c r="B126" s="8" t="s"/>
      <c r="C126" s="8" t="s"/>
      <c r="D126" s="8" t="s"/>
      <c r="F126" s="8" t="s"/>
      <c r="G126" s="8" t="s"/>
      <c r="H126" s="6" t="s"/>
      <c r="I126" s="6" t="s"/>
      <c r="J126" s="6" t="str">
        <f>=IF(ISBLANK(D126),"","("&amp;""""&amp;SUBSTITUTE(D126,"
",""""&amp;","&amp;"""")&amp;""""&amp;")")</f>
        <v/>
      </c>
      <c r="K126" s="6" t="s"/>
    </row>
    <row r="127" spans="2:11">
      <c r="B127" s="8" t="s"/>
      <c r="C127" s="8" t="s"/>
      <c r="D127" s="8" t="s"/>
      <c r="F127" s="8" t="s"/>
      <c r="G127" s="8" t="s"/>
      <c r="H127" s="6" t="s"/>
      <c r="I127" s="6" t="s"/>
      <c r="J127" s="6" t="str">
        <f>=IF(ISBLANK(D127),"","("&amp;""""&amp;SUBSTITUTE(D127,"
",""""&amp;","&amp;"""")&amp;""""&amp;")")</f>
        <v/>
      </c>
      <c r="K127" s="6" t="s"/>
    </row>
    <row r="128" spans="2:11">
      <c r="B128" s="8" t="s"/>
      <c r="C128" s="8" t="s"/>
      <c r="D128" s="8" t="s"/>
      <c r="F128" s="8" t="s"/>
      <c r="G128" s="8" t="s"/>
      <c r="H128" s="6" t="s"/>
      <c r="I128" s="6" t="s"/>
      <c r="J128" s="6" t="str">
        <f>=IF(ISBLANK(D128),"","("&amp;""""&amp;SUBSTITUTE(D128,"
",""""&amp;","&amp;"""")&amp;""""&amp;")")</f>
        <v/>
      </c>
      <c r="K128" s="6" t="s"/>
    </row>
    <row r="129" spans="2:11">
      <c r="B129" s="8" t="s"/>
      <c r="C129" s="8" t="s"/>
      <c r="D129" s="8" t="s"/>
      <c r="F129" s="8" t="s"/>
      <c r="G129" s="8" t="s"/>
      <c r="H129" s="6" t="s"/>
      <c r="I129" s="6" t="s"/>
      <c r="J129" s="6" t="str">
        <f>=IF(ISBLANK(D129),"","("&amp;""""&amp;SUBSTITUTE(D129,"
",""""&amp;","&amp;"""")&amp;""""&amp;")")</f>
        <v/>
      </c>
      <c r="K129" s="6" t="s"/>
    </row>
    <row r="130" spans="2:11">
      <c r="B130" s="8" t="s"/>
      <c r="C130" s="8" t="s"/>
      <c r="D130" s="8" t="s"/>
      <c r="F130" s="8" t="s"/>
      <c r="G130" s="8" t="s"/>
      <c r="H130" s="6" t="s"/>
      <c r="I130" s="6" t="s"/>
      <c r="J130" s="6" t="str">
        <f>=IF(ISBLANK(D130),"","("&amp;""""&amp;SUBSTITUTE(D130,"
",""""&amp;","&amp;"""")&amp;""""&amp;")")</f>
        <v/>
      </c>
      <c r="K130" s="6" t="s"/>
    </row>
    <row r="131" spans="2:11">
      <c r="B131" s="8" t="s"/>
      <c r="C131" s="8" t="s"/>
      <c r="D131" s="8" t="s"/>
      <c r="F131" s="8" t="s"/>
      <c r="G131" s="8" t="s"/>
      <c r="H131" s="6" t="s"/>
      <c r="I131" s="6" t="s"/>
      <c r="J131" s="6" t="str">
        <f>=IF(ISBLANK(D131),"","("&amp;""""&amp;SUBSTITUTE(D131,"
",""""&amp;","&amp;"""")&amp;""""&amp;")")</f>
        <v/>
      </c>
      <c r="K131" s="6" t="s"/>
    </row>
    <row r="132" spans="2:11">
      <c r="B132" s="8" t="s"/>
      <c r="C132" s="8" t="s"/>
      <c r="D132" s="8" t="s"/>
      <c r="F132" s="8" t="s"/>
      <c r="G132" s="8" t="s"/>
      <c r="H132" s="6" t="s"/>
      <c r="I132" s="6" t="s"/>
      <c r="J132" s="6" t="str">
        <f>=IF(ISBLANK(D132),"","("&amp;""""&amp;SUBSTITUTE(D132,"
",""""&amp;","&amp;"""")&amp;""""&amp;")")</f>
        <v/>
      </c>
      <c r="K132" s="6" t="s"/>
    </row>
    <row r="133" spans="2:11">
      <c r="B133" s="8" t="s"/>
      <c r="C133" s="8" t="s"/>
      <c r="D133" s="8" t="s"/>
      <c r="F133" s="8" t="s"/>
      <c r="G133" s="8" t="s"/>
      <c r="H133" s="6" t="s"/>
      <c r="I133" s="6" t="s"/>
      <c r="J133" s="6" t="str">
        <f>=IF(ISBLANK(D133),"","("&amp;""""&amp;SUBSTITUTE(D133,"
",""""&amp;","&amp;"""")&amp;""""&amp;")")</f>
        <v/>
      </c>
      <c r="K133" s="6" t="s"/>
    </row>
    <row r="134" spans="2:11">
      <c r="B134" s="8" t="s"/>
      <c r="C134" s="8" t="s"/>
      <c r="D134" s="8" t="s"/>
      <c r="F134" s="8" t="s"/>
      <c r="G134" s="8" t="s"/>
      <c r="H134" s="6" t="s"/>
      <c r="I134" s="6" t="s"/>
      <c r="J134" s="6" t="str">
        <f>=IF(ISBLANK(D134),"","("&amp;""""&amp;SUBSTITUTE(D134,"
",""""&amp;","&amp;"""")&amp;""""&amp;")")</f>
        <v/>
      </c>
      <c r="K134" s="6" t="s"/>
    </row>
    <row r="135" spans="2:11">
      <c r="B135" s="8" t="s"/>
      <c r="C135" s="8" t="s"/>
      <c r="D135" s="8" t="s"/>
      <c r="F135" s="8" t="s"/>
      <c r="G135" s="8" t="s"/>
      <c r="H135" s="6" t="s"/>
      <c r="I135" s="6" t="s"/>
      <c r="J135" s="6" t="str">
        <f>=IF(ISBLANK(D135),"","("&amp;""""&amp;SUBSTITUTE(D135,"
",""""&amp;","&amp;"""")&amp;""""&amp;")")</f>
        <v/>
      </c>
      <c r="K135" s="6" t="s"/>
    </row>
    <row r="136" spans="2:11">
      <c r="B136" s="8" t="s"/>
      <c r="C136" s="8" t="s"/>
      <c r="D136" s="8" t="s"/>
      <c r="F136" s="8" t="s"/>
      <c r="G136" s="8" t="s"/>
      <c r="H136" s="6" t="s"/>
      <c r="I136" s="6" t="s"/>
      <c r="J136" s="6" t="str">
        <f>=IF(ISBLANK(D136),"","("&amp;""""&amp;SUBSTITUTE(D136,"
",""""&amp;","&amp;"""")&amp;""""&amp;")")</f>
        <v/>
      </c>
      <c r="K136" s="6" t="s"/>
    </row>
    <row r="137" spans="2:11">
      <c r="B137" s="8" t="s"/>
      <c r="C137" s="8" t="s"/>
      <c r="D137" s="8" t="s"/>
      <c r="F137" s="8" t="s"/>
      <c r="G137" s="8" t="s"/>
      <c r="H137" s="6" t="s"/>
      <c r="I137" s="6" t="s"/>
      <c r="J137" s="6" t="str">
        <f>=IF(ISBLANK(D137),"","("&amp;""""&amp;SUBSTITUTE(D137,"
",""""&amp;","&amp;"""")&amp;""""&amp;")")</f>
        <v/>
      </c>
      <c r="K137" s="6" t="s"/>
    </row>
    <row r="138" spans="2:11">
      <c r="B138" s="8" t="s"/>
      <c r="C138" s="8" t="s"/>
      <c r="D138" s="8" t="s"/>
      <c r="F138" s="8" t="s"/>
      <c r="G138" s="8" t="s"/>
      <c r="H138" s="6" t="s"/>
      <c r="I138" s="6" t="s"/>
      <c r="J138" s="6" t="str">
        <f>=IF(ISBLANK(D138),"","("&amp;""""&amp;SUBSTITUTE(D138,"
",""""&amp;","&amp;"""")&amp;""""&amp;")")</f>
        <v/>
      </c>
      <c r="K138" s="6" t="s"/>
    </row>
    <row r="139" spans="2:11">
      <c r="B139" s="8" t="s"/>
      <c r="C139" s="8" t="s"/>
      <c r="D139" s="8" t="s"/>
      <c r="F139" s="8" t="s"/>
      <c r="G139" s="8" t="s"/>
      <c r="H139" s="6" t="s"/>
      <c r="I139" s="6" t="s"/>
      <c r="J139" s="6" t="str">
        <f>=IF(ISBLANK(D139),"","("&amp;""""&amp;SUBSTITUTE(D139,"
",""""&amp;","&amp;"""")&amp;""""&amp;")")</f>
        <v/>
      </c>
      <c r="K139" s="6" t="s"/>
    </row>
    <row r="140" spans="2:11">
      <c r="B140" s="8" t="s"/>
      <c r="C140" s="8" t="s"/>
      <c r="D140" s="8" t="s"/>
      <c r="F140" s="8" t="s"/>
      <c r="G140" s="8" t="s"/>
      <c r="H140" s="6" t="s"/>
      <c r="I140" s="6" t="s"/>
      <c r="J140" s="6" t="str">
        <f>=IF(ISBLANK(D140),"","("&amp;""""&amp;SUBSTITUTE(D140,"
",""""&amp;","&amp;"""")&amp;""""&amp;")")</f>
        <v/>
      </c>
      <c r="K140" s="6" t="s"/>
    </row>
    <row r="141" spans="2:11">
      <c r="B141" s="8" t="s"/>
      <c r="C141" s="8" t="s"/>
      <c r="D141" s="8" t="s"/>
      <c r="F141" s="8" t="s"/>
      <c r="G141" s="8" t="s"/>
      <c r="H141" s="6" t="s"/>
      <c r="I141" s="6" t="s"/>
      <c r="J141" s="6" t="str">
        <f>=IF(ISBLANK(D141),"","("&amp;""""&amp;SUBSTITUTE(D141,"
",""""&amp;","&amp;"""")&amp;""""&amp;")")</f>
        <v/>
      </c>
      <c r="K141" s="6" t="s"/>
    </row>
    <row r="142" spans="2:11">
      <c r="B142" s="8" t="s"/>
      <c r="C142" s="8" t="s"/>
      <c r="D142" s="8" t="s"/>
      <c r="F142" s="8" t="s"/>
      <c r="G142" s="8" t="s"/>
      <c r="H142" s="6" t="s"/>
      <c r="I142" s="6" t="s"/>
      <c r="J142" s="6" t="str">
        <f>=IF(ISBLANK(D142),"","("&amp;""""&amp;SUBSTITUTE(D142,"
",""""&amp;","&amp;"""")&amp;""""&amp;")")</f>
        <v/>
      </c>
      <c r="K142" s="6" t="s"/>
    </row>
    <row r="143" spans="2:11">
      <c r="B143" s="8" t="s"/>
      <c r="C143" s="8" t="s"/>
      <c r="D143" s="8" t="s"/>
      <c r="F143" s="8" t="s"/>
      <c r="G143" s="8" t="s"/>
      <c r="H143" s="6" t="s"/>
      <c r="I143" s="6" t="s"/>
      <c r="J143" s="6" t="str">
        <f>=IF(ISBLANK(D143),"","("&amp;""""&amp;SUBSTITUTE(D143,"
",""""&amp;","&amp;"""")&amp;""""&amp;")")</f>
        <v/>
      </c>
      <c r="K143" s="6" t="s"/>
    </row>
    <row r="144" spans="2:11">
      <c r="B144" s="8" t="s"/>
      <c r="C144" s="8" t="s"/>
      <c r="D144" s="8" t="s"/>
      <c r="F144" s="8" t="s"/>
      <c r="G144" s="8" t="s"/>
      <c r="H144" s="6" t="s"/>
      <c r="I144" s="6" t="s"/>
      <c r="J144" s="6" t="str">
        <f>=IF(ISBLANK(D144),"","("&amp;""""&amp;SUBSTITUTE(D144,"
",""""&amp;","&amp;"""")&amp;""""&amp;")")</f>
        <v/>
      </c>
      <c r="K144" s="6" t="s"/>
    </row>
    <row r="145" spans="2:11">
      <c r="B145" s="8" t="s"/>
      <c r="C145" s="8" t="s"/>
      <c r="D145" s="8" t="s"/>
      <c r="F145" s="8" t="s"/>
      <c r="G145" s="8" t="s"/>
      <c r="H145" s="6" t="s"/>
      <c r="I145" s="6" t="s"/>
      <c r="J145" s="6" t="str">
        <f>=IF(ISBLANK(D145),"","("&amp;""""&amp;SUBSTITUTE(D145,"
",""""&amp;","&amp;"""")&amp;""""&amp;")")</f>
        <v/>
      </c>
      <c r="K145" s="6" t="s"/>
    </row>
    <row r="146" spans="2:11">
      <c r="B146" s="8" t="s"/>
      <c r="C146" s="8" t="s"/>
      <c r="D146" s="8" t="s"/>
      <c r="F146" s="8" t="s"/>
      <c r="G146" s="8" t="s"/>
      <c r="H146" s="6" t="s"/>
      <c r="I146" s="6" t="s"/>
      <c r="J146" s="6" t="str">
        <f>=IF(ISBLANK(D146),"","("&amp;""""&amp;SUBSTITUTE(D146,"
",""""&amp;","&amp;"""")&amp;""""&amp;")")</f>
        <v/>
      </c>
      <c r="K146" s="6" t="s"/>
    </row>
    <row r="147" spans="2:11">
      <c r="B147" s="8" t="s"/>
      <c r="C147" s="8" t="s"/>
      <c r="D147" s="8" t="s"/>
      <c r="F147" s="8" t="s"/>
      <c r="G147" s="8" t="s"/>
      <c r="H147" s="6" t="s"/>
      <c r="I147" s="6" t="s"/>
      <c r="J147" s="6" t="str">
        <f>=IF(ISBLANK(D147),"","("&amp;""""&amp;SUBSTITUTE(D147,"
",""""&amp;","&amp;"""")&amp;""""&amp;")")</f>
        <v/>
      </c>
      <c r="K147" s="6" t="s"/>
    </row>
    <row r="148" spans="2:11">
      <c r="B148" s="8" t="s"/>
      <c r="C148" s="8" t="s"/>
      <c r="D148" s="8" t="s"/>
      <c r="F148" s="8" t="s"/>
      <c r="G148" s="8" t="s"/>
      <c r="H148" s="6" t="s"/>
      <c r="I148" s="6" t="s"/>
      <c r="J148" s="6" t="str">
        <f>=IF(ISBLANK(D148),"","("&amp;""""&amp;SUBSTITUTE(D148,"
",""""&amp;","&amp;"""")&amp;""""&amp;")")</f>
        <v/>
      </c>
      <c r="K148" s="6" t="s"/>
    </row>
    <row r="149" spans="2:11">
      <c r="B149" s="8" t="s"/>
      <c r="C149" s="8" t="s"/>
      <c r="D149" s="8" t="s"/>
      <c r="F149" s="8" t="s"/>
      <c r="G149" s="8" t="s"/>
      <c r="H149" s="6" t="s"/>
      <c r="I149" s="6" t="s"/>
      <c r="J149" s="6" t="str">
        <f>=IF(ISBLANK(D149),"","("&amp;""""&amp;SUBSTITUTE(D149,"
",""""&amp;","&amp;"""")&amp;""""&amp;")")</f>
        <v/>
      </c>
      <c r="K149" s="6" t="s"/>
    </row>
    <row r="150" spans="2:11">
      <c r="B150" s="8" t="s"/>
      <c r="C150" s="8" t="s"/>
      <c r="D150" s="8" t="s"/>
      <c r="F150" s="8" t="s"/>
      <c r="G150" s="8" t="s"/>
      <c r="H150" s="6" t="s"/>
      <c r="I150" s="6" t="s"/>
      <c r="J150" s="6" t="str">
        <f>=IF(ISBLANK(D150),"","("&amp;""""&amp;SUBSTITUTE(D150,"
",""""&amp;","&amp;"""")&amp;""""&amp;")")</f>
        <v/>
      </c>
      <c r="K150" s="6" t="s"/>
    </row>
    <row r="151" spans="2:11">
      <c r="B151" s="8" t="s"/>
      <c r="C151" s="8" t="s"/>
      <c r="D151" s="8" t="s"/>
      <c r="F151" s="8" t="s"/>
      <c r="G151" s="8" t="s"/>
      <c r="H151" s="6" t="s"/>
      <c r="I151" s="6" t="s"/>
      <c r="J151" s="6" t="str">
        <f>=IF(ISBLANK(D151),"","("&amp;""""&amp;SUBSTITUTE(D151,"
",""""&amp;","&amp;"""")&amp;""""&amp;")")</f>
        <v/>
      </c>
      <c r="K151" s="6" t="s"/>
    </row>
    <row r="152" spans="2:11">
      <c r="B152" s="8" t="s"/>
      <c r="C152" s="8" t="s"/>
      <c r="D152" s="8" t="s"/>
      <c r="F152" s="8" t="s"/>
      <c r="G152" s="8" t="s"/>
      <c r="H152" s="6" t="s"/>
      <c r="I152" s="6" t="s"/>
      <c r="J152" s="6" t="str">
        <f>=IF(ISBLANK(D152),"","("&amp;""""&amp;SUBSTITUTE(D152,"
",""""&amp;","&amp;"""")&amp;""""&amp;")")</f>
        <v/>
      </c>
      <c r="K152" s="6" t="s"/>
    </row>
    <row r="153" spans="2:11">
      <c r="B153" s="8" t="s"/>
      <c r="C153" s="8" t="s"/>
      <c r="D153" s="8" t="s"/>
      <c r="F153" s="8" t="s"/>
      <c r="G153" s="8" t="s"/>
      <c r="H153" s="6" t="s"/>
      <c r="I153" s="6" t="s"/>
      <c r="J153" s="6" t="str">
        <f>=IF(ISBLANK(D153),"","("&amp;""""&amp;SUBSTITUTE(D153,"
",""""&amp;","&amp;"""")&amp;""""&amp;")")</f>
        <v/>
      </c>
      <c r="K153" s="6" t="s"/>
    </row>
    <row r="154" spans="2:11">
      <c r="B154" s="8" t="s"/>
      <c r="C154" s="8" t="s"/>
      <c r="D154" s="8" t="s"/>
      <c r="F154" s="8" t="s"/>
      <c r="G154" s="8" t="s"/>
      <c r="H154" s="6" t="s"/>
      <c r="I154" s="6" t="s"/>
      <c r="J154" s="6" t="str">
        <f>=IF(ISBLANK(D154),"","("&amp;""""&amp;SUBSTITUTE(D154,"
",""""&amp;","&amp;"""")&amp;""""&amp;")")</f>
        <v/>
      </c>
      <c r="K154" s="6" t="s"/>
    </row>
    <row r="155" spans="2:11">
      <c r="B155" s="8" t="s"/>
      <c r="C155" s="8" t="s"/>
      <c r="D155" s="8" t="s"/>
      <c r="F155" s="8" t="s"/>
      <c r="G155" s="8" t="s"/>
      <c r="H155" s="6" t="s"/>
      <c r="I155" s="6" t="s"/>
      <c r="J155" s="6" t="str">
        <f>=IF(ISBLANK(D155),"","("&amp;""""&amp;SUBSTITUTE(D155,"
",""""&amp;","&amp;"""")&amp;""""&amp;")")</f>
        <v/>
      </c>
      <c r="K155" s="6" t="s"/>
    </row>
    <row r="156" spans="2:11">
      <c r="B156" s="8" t="s"/>
      <c r="C156" s="8" t="s"/>
      <c r="D156" s="8" t="s"/>
      <c r="F156" s="8" t="s"/>
      <c r="G156" s="8" t="s"/>
      <c r="H156" s="6" t="s"/>
      <c r="I156" s="6" t="s"/>
      <c r="J156" s="6" t="str">
        <f>=IF(ISBLANK(D156),"","("&amp;""""&amp;SUBSTITUTE(D156,"
",""""&amp;","&amp;"""")&amp;""""&amp;")")</f>
        <v/>
      </c>
      <c r="K156" s="6" t="s"/>
    </row>
    <row r="157" spans="2:11">
      <c r="B157" s="8" t="s"/>
      <c r="C157" s="8" t="s"/>
      <c r="D157" s="8" t="s"/>
      <c r="F157" s="8" t="s"/>
      <c r="G157" s="8" t="s"/>
      <c r="H157" s="6" t="s"/>
      <c r="I157" s="6" t="s"/>
      <c r="J157" s="6" t="str">
        <f>=IF(ISBLANK(D157),"","("&amp;""""&amp;SUBSTITUTE(D157,"
",""""&amp;","&amp;"""")&amp;""""&amp;")")</f>
        <v/>
      </c>
      <c r="K157" s="6" t="s"/>
    </row>
    <row r="158" spans="2:11">
      <c r="B158" s="8" t="s"/>
      <c r="C158" s="8" t="s"/>
      <c r="D158" s="8" t="s"/>
      <c r="F158" s="8" t="s"/>
      <c r="G158" s="8" t="s"/>
      <c r="H158" s="6" t="s"/>
      <c r="I158" s="6" t="s"/>
      <c r="J158" s="6" t="str">
        <f>=IF(ISBLANK(D158),"","("&amp;""""&amp;SUBSTITUTE(D158,"
",""""&amp;","&amp;"""")&amp;""""&amp;")")</f>
        <v/>
      </c>
      <c r="K158" s="6" t="s"/>
    </row>
    <row r="159" spans="2:11">
      <c r="B159" s="8" t="s"/>
      <c r="C159" s="8" t="s"/>
      <c r="D159" s="8" t="s"/>
      <c r="F159" s="8" t="s"/>
      <c r="G159" s="8" t="s"/>
      <c r="H159" s="6" t="s"/>
      <c r="I159" s="6" t="s"/>
      <c r="J159" s="6" t="str">
        <f>=IF(ISBLANK(D159),"","("&amp;""""&amp;SUBSTITUTE(D159,"
",""""&amp;","&amp;"""")&amp;""""&amp;")")</f>
        <v/>
      </c>
      <c r="K159" s="6" t="s"/>
    </row>
    <row r="160" spans="2:11">
      <c r="B160" s="8" t="s"/>
      <c r="C160" s="8" t="s"/>
      <c r="D160" s="8" t="s"/>
      <c r="F160" s="8" t="s"/>
      <c r="G160" s="8" t="s"/>
      <c r="H160" s="6" t="s"/>
      <c r="I160" s="6" t="s"/>
      <c r="J160" s="6" t="str">
        <f>=IF(ISBLANK(D160),"","("&amp;""""&amp;SUBSTITUTE(D160,"
",""""&amp;","&amp;"""")&amp;""""&amp;")")</f>
        <v/>
      </c>
      <c r="K160" s="6" t="s"/>
    </row>
    <row r="161" spans="2:11">
      <c r="B161" s="8" t="s"/>
      <c r="C161" s="8" t="s"/>
      <c r="D161" s="8" t="s"/>
      <c r="F161" s="8" t="s"/>
      <c r="G161" s="8" t="s"/>
      <c r="H161" s="6" t="s"/>
      <c r="I161" s="6" t="s"/>
      <c r="J161" s="6" t="str">
        <f>=IF(ISBLANK(D161),"","("&amp;""""&amp;SUBSTITUTE(D161,"
",""""&amp;","&amp;"""")&amp;""""&amp;")")</f>
        <v/>
      </c>
      <c r="K161" s="6" t="s"/>
    </row>
    <row r="162" spans="2:11">
      <c r="B162" s="8" t="s"/>
      <c r="C162" s="8" t="s"/>
      <c r="D162" s="8" t="s"/>
      <c r="F162" s="8" t="s"/>
      <c r="G162" s="8" t="s"/>
      <c r="H162" s="6" t="s"/>
      <c r="I162" s="6" t="s"/>
      <c r="J162" s="6" t="str">
        <f>=IF(ISBLANK(D162),"","("&amp;""""&amp;SUBSTITUTE(D162,"
",""""&amp;","&amp;"""")&amp;""""&amp;")")</f>
        <v/>
      </c>
      <c r="K162" s="6" t="s"/>
    </row>
    <row r="163" spans="2:11">
      <c r="B163" s="8" t="s"/>
      <c r="C163" s="8" t="s"/>
      <c r="D163" s="8" t="s"/>
      <c r="F163" s="8" t="s"/>
      <c r="G163" s="8" t="s"/>
      <c r="H163" s="6" t="s"/>
      <c r="I163" s="6" t="s"/>
      <c r="J163" s="6" t="str">
        <f>=IF(ISBLANK(D163),"","("&amp;""""&amp;SUBSTITUTE(D163,"
",""""&amp;","&amp;"""")&amp;""""&amp;")")</f>
        <v/>
      </c>
      <c r="K163" s="6" t="s"/>
    </row>
    <row r="164" spans="2:11">
      <c r="B164" s="8" t="s"/>
      <c r="C164" s="8" t="s"/>
      <c r="D164" s="8" t="s"/>
      <c r="F164" s="8" t="s"/>
      <c r="G164" s="8" t="s"/>
      <c r="H164" s="6" t="s"/>
      <c r="I164" s="6" t="s"/>
      <c r="J164" s="6" t="str">
        <f>=IF(ISBLANK(D164),"","("&amp;""""&amp;SUBSTITUTE(D164,"
",""""&amp;","&amp;"""")&amp;""""&amp;")")</f>
        <v/>
      </c>
      <c r="K164" s="6" t="s"/>
    </row>
    <row r="165" spans="2:11">
      <c r="B165" s="8" t="s"/>
      <c r="C165" s="8" t="s"/>
      <c r="D165" s="8" t="s"/>
      <c r="F165" s="8" t="s"/>
      <c r="G165" s="8" t="s"/>
      <c r="H165" s="6" t="s"/>
      <c r="I165" s="6" t="s"/>
      <c r="J165" s="6" t="str">
        <f>=IF(ISBLANK(D165),"","("&amp;""""&amp;SUBSTITUTE(D165,"
",""""&amp;","&amp;"""")&amp;""""&amp;")")</f>
        <v/>
      </c>
      <c r="K165" s="6" t="s"/>
    </row>
    <row r="166" spans="2:11">
      <c r="B166" s="8" t="s"/>
      <c r="C166" s="8" t="s"/>
      <c r="D166" s="8" t="s"/>
      <c r="F166" s="8" t="s"/>
      <c r="G166" s="8" t="s"/>
      <c r="H166" s="6" t="s"/>
      <c r="I166" s="6" t="s"/>
      <c r="J166" s="6" t="str">
        <f>=IF(ISBLANK(D166),"","("&amp;""""&amp;SUBSTITUTE(D166,"
",""""&amp;","&amp;"""")&amp;""""&amp;")")</f>
        <v/>
      </c>
      <c r="K166" s="6" t="s"/>
    </row>
    <row r="167" spans="2:11">
      <c r="B167" s="8" t="s"/>
      <c r="C167" s="8" t="s"/>
      <c r="D167" s="8" t="s"/>
      <c r="F167" s="8" t="s"/>
      <c r="G167" s="8" t="s"/>
      <c r="H167" s="6" t="s"/>
      <c r="I167" s="6" t="s"/>
      <c r="J167" s="6" t="str">
        <f>=IF(ISBLANK(D167),"","("&amp;""""&amp;SUBSTITUTE(D167,"
",""""&amp;","&amp;"""")&amp;""""&amp;")")</f>
        <v/>
      </c>
      <c r="K167" s="6" t="s"/>
    </row>
    <row r="168" spans="2:11">
      <c r="B168" s="8" t="s"/>
      <c r="C168" s="8" t="s"/>
      <c r="D168" s="8" t="s"/>
      <c r="F168" s="8" t="s"/>
      <c r="G168" s="8" t="s"/>
      <c r="H168" s="6" t="s"/>
      <c r="I168" s="6" t="s"/>
      <c r="J168" s="6" t="str">
        <f>=IF(ISBLANK(D168),"","("&amp;""""&amp;SUBSTITUTE(D168,"
",""""&amp;","&amp;"""")&amp;""""&amp;")")</f>
        <v/>
      </c>
      <c r="K168" s="6" t="s"/>
    </row>
    <row r="169" spans="2:11">
      <c r="B169" s="8" t="s"/>
      <c r="C169" s="8" t="s"/>
      <c r="D169" s="8" t="s"/>
      <c r="F169" s="8" t="s"/>
      <c r="G169" s="8" t="s"/>
      <c r="H169" s="6" t="s"/>
      <c r="I169" s="6" t="s"/>
      <c r="J169" s="6" t="str">
        <f>=IF(ISBLANK(D169),"","("&amp;""""&amp;SUBSTITUTE(D169,"
",""""&amp;","&amp;"""")&amp;""""&amp;")")</f>
        <v/>
      </c>
      <c r="K169" s="6" t="s"/>
    </row>
    <row r="170" spans="2:11">
      <c r="B170" s="8" t="s"/>
      <c r="C170" s="8" t="s"/>
      <c r="D170" s="8" t="s"/>
      <c r="F170" s="8" t="s"/>
      <c r="G170" s="8" t="s"/>
      <c r="H170" s="6" t="s"/>
      <c r="I170" s="6" t="s"/>
      <c r="J170" s="6" t="str">
        <f>=IF(ISBLANK(D170),"","("&amp;""""&amp;SUBSTITUTE(D170,"
",""""&amp;","&amp;"""")&amp;""""&amp;")")</f>
        <v/>
      </c>
      <c r="K170" s="6" t="s"/>
    </row>
    <row r="171" spans="2:11">
      <c r="B171" s="8" t="s"/>
      <c r="C171" s="8" t="s"/>
      <c r="D171" s="8" t="s"/>
      <c r="F171" s="8" t="s"/>
      <c r="G171" s="8" t="s"/>
      <c r="H171" s="6" t="s"/>
      <c r="I171" s="6" t="s"/>
      <c r="J171" s="6" t="str">
        <f>=IF(ISBLANK(D171),"","("&amp;""""&amp;SUBSTITUTE(D171,"
",""""&amp;","&amp;"""")&amp;""""&amp;")")</f>
        <v/>
      </c>
      <c r="K171" s="6" t="s"/>
    </row>
    <row r="172" spans="2:11">
      <c r="B172" s="8" t="s"/>
      <c r="C172" s="8" t="s"/>
      <c r="D172" s="8" t="s"/>
      <c r="F172" s="8" t="s"/>
      <c r="G172" s="8" t="s"/>
      <c r="H172" s="6" t="s"/>
      <c r="I172" s="6" t="s"/>
      <c r="J172" s="6" t="str">
        <f>=IF(ISBLANK(D172),"","("&amp;""""&amp;SUBSTITUTE(D172,"
",""""&amp;","&amp;"""")&amp;""""&amp;")")</f>
        <v/>
      </c>
      <c r="K172" s="6" t="s"/>
    </row>
    <row r="173" spans="2:11">
      <c r="B173" s="8" t="s"/>
      <c r="C173" s="8" t="s"/>
      <c r="D173" s="8" t="s"/>
      <c r="F173" s="8" t="s"/>
      <c r="G173" s="8" t="s"/>
      <c r="H173" s="6" t="s"/>
      <c r="I173" s="6" t="s"/>
      <c r="J173" s="6" t="str">
        <f>=IF(ISBLANK(D173),"","("&amp;""""&amp;SUBSTITUTE(D173,"
",""""&amp;","&amp;"""")&amp;""""&amp;")")</f>
        <v/>
      </c>
      <c r="K173" s="6" t="s"/>
    </row>
    <row r="174" spans="2:11">
      <c r="B174" s="8" t="s"/>
      <c r="C174" s="8" t="s"/>
      <c r="D174" s="8" t="s"/>
      <c r="F174" s="8" t="s"/>
      <c r="G174" s="8" t="s"/>
      <c r="H174" s="6" t="s"/>
      <c r="I174" s="6" t="s"/>
      <c r="J174" s="6" t="str">
        <f>=IF(ISBLANK(D174),"","("&amp;""""&amp;SUBSTITUTE(D174,"
",""""&amp;","&amp;"""")&amp;""""&amp;")")</f>
        <v/>
      </c>
      <c r="K174" s="6" t="s"/>
    </row>
    <row r="175" spans="2:11">
      <c r="B175" s="8" t="s"/>
      <c r="C175" s="8" t="s"/>
      <c r="D175" s="8" t="s"/>
      <c r="F175" s="8" t="s"/>
      <c r="G175" s="8" t="s"/>
      <c r="H175" s="6" t="s"/>
      <c r="I175" s="6" t="s"/>
      <c r="J175" s="6" t="str">
        <f>=IF(ISBLANK(D175),"","("&amp;""""&amp;SUBSTITUTE(D175,"
",""""&amp;","&amp;"""")&amp;""""&amp;")")</f>
        <v/>
      </c>
      <c r="K175" s="6" t="s"/>
    </row>
    <row r="176" spans="2:11">
      <c r="B176" s="8" t="s"/>
      <c r="C176" s="8" t="s"/>
      <c r="D176" s="8" t="s"/>
      <c r="F176" s="8" t="s"/>
      <c r="G176" s="8" t="s"/>
      <c r="H176" s="6" t="s"/>
      <c r="I176" s="6" t="s"/>
      <c r="J176" s="6" t="str">
        <f>=IF(ISBLANK(D176),"","("&amp;""""&amp;SUBSTITUTE(D176,"
",""""&amp;","&amp;"""")&amp;""""&amp;")")</f>
        <v/>
      </c>
      <c r="K176" s="6" t="s"/>
    </row>
    <row r="177" spans="2:11">
      <c r="B177" s="8" t="s"/>
      <c r="C177" s="8" t="s"/>
      <c r="D177" s="8" t="s"/>
      <c r="F177" s="8" t="s"/>
      <c r="G177" s="8" t="s"/>
      <c r="H177" s="6" t="s"/>
      <c r="I177" s="6" t="s"/>
      <c r="J177" s="6" t="str">
        <f>=IF(ISBLANK(D177),"","("&amp;""""&amp;SUBSTITUTE(D177,"
",""""&amp;","&amp;"""")&amp;""""&amp;")")</f>
        <v/>
      </c>
      <c r="K177" s="6" t="s"/>
    </row>
    <row r="178" spans="2:11">
      <c r="B178" s="8" t="s"/>
      <c r="C178" s="8" t="s"/>
      <c r="D178" s="8" t="s"/>
      <c r="F178" s="8" t="s"/>
      <c r="G178" s="8" t="s"/>
      <c r="H178" s="6" t="s"/>
      <c r="I178" s="6" t="s"/>
      <c r="J178" s="6" t="str">
        <f>=IF(ISBLANK(D178),"","("&amp;""""&amp;SUBSTITUTE(D178,"
",""""&amp;","&amp;"""")&amp;""""&amp;")")</f>
        <v/>
      </c>
      <c r="K178" s="6" t="s"/>
    </row>
    <row r="179" spans="2:11">
      <c r="B179" s="8" t="s"/>
      <c r="C179" s="8" t="s"/>
      <c r="D179" s="8" t="s"/>
      <c r="F179" s="8" t="s"/>
      <c r="G179" s="8" t="s"/>
      <c r="H179" s="6" t="s"/>
      <c r="I179" s="6" t="s"/>
      <c r="J179" s="6" t="str">
        <f>=IF(ISBLANK(D179),"","("&amp;""""&amp;SUBSTITUTE(D179,"
",""""&amp;","&amp;"""")&amp;""""&amp;")")</f>
        <v/>
      </c>
      <c r="K179" s="6" t="s"/>
    </row>
    <row r="180" spans="2:11">
      <c r="B180" s="8" t="s"/>
      <c r="C180" s="8" t="s"/>
      <c r="D180" s="8" t="s"/>
      <c r="F180" s="8" t="s"/>
      <c r="G180" s="8" t="s"/>
      <c r="H180" s="6" t="s"/>
      <c r="I180" s="6" t="s"/>
      <c r="J180" s="6" t="str">
        <f>=IF(ISBLANK(D180),"","("&amp;""""&amp;SUBSTITUTE(D180,"
",""""&amp;","&amp;"""")&amp;""""&amp;")")</f>
        <v/>
      </c>
      <c r="K180" s="6" t="s"/>
    </row>
    <row r="181" spans="2:11">
      <c r="B181" s="8" t="s"/>
      <c r="C181" s="8" t="s"/>
      <c r="D181" s="8" t="s"/>
      <c r="F181" s="8" t="s"/>
      <c r="G181" s="8" t="s"/>
      <c r="H181" s="6" t="s"/>
      <c r="I181" s="6" t="s"/>
      <c r="J181" s="6" t="str">
        <f>=IF(ISBLANK(D181),"","("&amp;""""&amp;SUBSTITUTE(D181,"
",""""&amp;","&amp;"""")&amp;""""&amp;")")</f>
        <v/>
      </c>
      <c r="K181" s="6" t="s"/>
    </row>
    <row r="182" spans="2:11">
      <c r="B182" s="8" t="s"/>
      <c r="C182" s="8" t="s"/>
      <c r="D182" s="8" t="s"/>
      <c r="F182" s="8" t="s"/>
      <c r="G182" s="8" t="s"/>
      <c r="H182" s="6" t="s"/>
      <c r="I182" s="6" t="s"/>
      <c r="J182" s="6" t="str">
        <f>=IF(ISBLANK(D182),"","("&amp;""""&amp;SUBSTITUTE(D182,"
",""""&amp;","&amp;"""")&amp;""""&amp;")")</f>
        <v/>
      </c>
      <c r="K182" s="6" t="s"/>
    </row>
    <row r="183" spans="2:11">
      <c r="B183" s="8" t="s"/>
      <c r="C183" s="8" t="s"/>
      <c r="D183" s="8" t="s"/>
      <c r="F183" s="8" t="s"/>
      <c r="G183" s="8" t="s"/>
      <c r="H183" s="6" t="s"/>
      <c r="I183" s="6" t="s"/>
      <c r="J183" s="6" t="str">
        <f>=IF(ISBLANK(D183),"","("&amp;""""&amp;SUBSTITUTE(D183,"
",""""&amp;","&amp;"""")&amp;""""&amp;")")</f>
        <v/>
      </c>
      <c r="K183" s="6" t="s"/>
    </row>
    <row r="184" spans="2:11">
      <c r="B184" s="8" t="s"/>
      <c r="C184" s="8" t="s"/>
      <c r="D184" s="8" t="s"/>
      <c r="F184" s="8" t="s"/>
      <c r="G184" s="8" t="s"/>
      <c r="H184" s="6" t="s"/>
      <c r="I184" s="6" t="s"/>
      <c r="J184" s="6" t="str">
        <f>=IF(ISBLANK(D184),"","("&amp;""""&amp;SUBSTITUTE(D184,"
",""""&amp;","&amp;"""")&amp;""""&amp;")")</f>
        <v/>
      </c>
      <c r="K184" s="6" t="s"/>
    </row>
    <row r="185" spans="2:11">
      <c r="B185" s="8" t="s"/>
      <c r="C185" s="8" t="s"/>
      <c r="D185" s="8" t="s"/>
      <c r="F185" s="8" t="s"/>
      <c r="G185" s="8" t="s"/>
      <c r="H185" s="6" t="s"/>
      <c r="I185" s="6" t="s"/>
      <c r="J185" s="6" t="str">
        <f>=IF(ISBLANK(D185),"","("&amp;""""&amp;SUBSTITUTE(D185,"
",""""&amp;","&amp;"""")&amp;""""&amp;")")</f>
        <v/>
      </c>
      <c r="K185" s="6" t="s"/>
    </row>
    <row r="186" spans="2:11">
      <c r="B186" s="8" t="s"/>
      <c r="C186" s="8" t="s"/>
      <c r="D186" s="8" t="s"/>
      <c r="F186" s="8" t="s"/>
      <c r="G186" s="8" t="s"/>
      <c r="H186" s="6" t="s"/>
      <c r="I186" s="6" t="s"/>
      <c r="J186" s="6" t="str">
        <f>=IF(ISBLANK(D186),"","("&amp;""""&amp;SUBSTITUTE(D186,"
",""""&amp;","&amp;"""")&amp;""""&amp;")")</f>
        <v/>
      </c>
      <c r="K186" s="6" t="s"/>
    </row>
    <row r="187" spans="2:11">
      <c r="B187" s="8" t="s"/>
      <c r="C187" s="8" t="s"/>
      <c r="D187" s="8" t="s"/>
      <c r="F187" s="8" t="s"/>
      <c r="G187" s="8" t="s"/>
      <c r="H187" s="6" t="s"/>
      <c r="I187" s="6" t="s"/>
      <c r="J187" s="6" t="str">
        <f>=IF(ISBLANK(D187),"","("&amp;""""&amp;SUBSTITUTE(D187,"
",""""&amp;","&amp;"""")&amp;""""&amp;")")</f>
        <v/>
      </c>
      <c r="K187" s="6" t="s"/>
    </row>
    <row r="188" spans="2:9">
      <c r="B188" s="8" t="s"/>
      <c r="C188" s="8" t="s"/>
      <c r="D188" s="8" t="s"/>
      <c r="F188" s="8" t="s"/>
      <c r="G188" s="8" t="s"/>
      <c r="H188" s="6" t="s"/>
      <c r="I188" s="6" t="s"/>
    </row>
    <row r="189" spans="2:9">
      <c r="B189" s="8" t="s"/>
      <c r="C189" s="8" t="s"/>
      <c r="D189" s="8" t="s"/>
      <c r="F189" s="8" t="s"/>
      <c r="G189" s="8" t="s"/>
      <c r="H189" s="6" t="s"/>
      <c r="I189" s="6" t="s"/>
    </row>
    <row r="190" spans="2:9">
      <c r="B190" s="8" t="s"/>
      <c r="C190" s="8" t="s"/>
      <c r="D190" s="8" t="s"/>
      <c r="F190" s="8" t="s"/>
      <c r="G190" s="8" t="s"/>
      <c r="H190" s="6" t="s"/>
      <c r="I190" s="6" t="s"/>
    </row>
    <row r="191" spans="2:9">
      <c r="B191" s="8" t="s"/>
      <c r="C191" s="8" t="s"/>
      <c r="D191" s="8" t="s"/>
      <c r="F191" s="8" t="s"/>
      <c r="G191" s="8" t="s"/>
      <c r="H191" s="6" t="s"/>
      <c r="I191" s="6" t="s"/>
    </row>
    <row r="192" spans="2:9">
      <c r="B192" s="8" t="s"/>
      <c r="C192" s="8" t="s"/>
      <c r="D192" s="8" t="s"/>
      <c r="F192" s="8" t="s"/>
      <c r="G192" s="8" t="s"/>
      <c r="H192" s="6" t="s"/>
      <c r="I192" s="6" t="s"/>
    </row>
    <row r="193" spans="2:9">
      <c r="B193" s="8" t="s"/>
      <c r="C193" s="8" t="s"/>
      <c r="D193" s="8" t="s"/>
      <c r="F193" s="8" t="s"/>
      <c r="G193" s="8" t="s"/>
      <c r="H193" s="6" t="s"/>
      <c r="I193" s="6" t="s"/>
    </row>
    <row r="194" spans="2:9">
      <c r="B194" s="8" t="s"/>
      <c r="C194" s="8" t="s"/>
      <c r="D194" s="8" t="s"/>
      <c r="F194" s="8" t="s"/>
      <c r="G194" s="8" t="s"/>
      <c r="H194" s="6" t="s"/>
      <c r="I194" s="6" t="s"/>
    </row>
    <row r="195" spans="2:9">
      <c r="B195" s="8" t="s"/>
      <c r="C195" s="8" t="s"/>
      <c r="D195" s="8" t="s"/>
      <c r="F195" s="8" t="s"/>
      <c r="G195" s="8" t="s"/>
      <c r="H195" s="6" t="s"/>
      <c r="I195" s="6" t="s"/>
    </row>
    <row r="196" spans="2:9">
      <c r="B196" s="8" t="s"/>
      <c r="C196" s="8" t="s"/>
      <c r="D196" s="8" t="s"/>
      <c r="F196" s="8" t="s"/>
      <c r="G196" s="8" t="s"/>
      <c r="H196" s="6" t="s"/>
      <c r="I196" s="6" t="s"/>
    </row>
    <row r="197" spans="2:9">
      <c r="B197" s="8" t="s"/>
      <c r="C197" s="8" t="s"/>
      <c r="D197" s="8" t="s"/>
      <c r="F197" s="8" t="s"/>
      <c r="G197" s="8" t="s"/>
      <c r="H197" s="6" t="s"/>
      <c r="I197" s="6" t="s"/>
    </row>
    <row r="198" spans="2:9">
      <c r="B198" s="8" t="s"/>
      <c r="C198" s="8" t="s"/>
      <c r="D198" s="8" t="s"/>
      <c r="F198" s="8" t="s"/>
      <c r="G198" s="8" t="s"/>
      <c r="H198" s="6" t="s"/>
      <c r="I198" s="6" t="s"/>
    </row>
    <row r="199" spans="2:9">
      <c r="B199" s="8" t="s"/>
      <c r="C199" s="8" t="s"/>
      <c r="D199" s="8" t="s"/>
      <c r="F199" s="8" t="s"/>
      <c r="G199" s="8" t="s"/>
      <c r="H199" s="6" t="s"/>
      <c r="I199" s="6" t="s"/>
    </row>
    <row r="200" spans="2:9">
      <c r="B200" s="8" t="s"/>
      <c r="C200" s="8" t="s"/>
      <c r="D200" s="8" t="s"/>
      <c r="F200" s="8" t="s"/>
      <c r="G200" s="8" t="s"/>
      <c r="H200" s="6" t="s"/>
      <c r="I200" s="6" t="s"/>
    </row>
  </sheetData>
</worksheet>
</file>

<file path=xl/worksheets/sheet7.xml><?xml version="1.0" encoding="utf-8"?>
<worksheet xmlns="http://schemas.openxmlformats.org/spreadsheetml/2006/main">
  <sheetPr codeName="任务">
    <tabColor/>
  </sheetPr>
  <dimension ref="M200"/>
  <sheetViews>
    <sheetView showGridLines="1" workbookViewId="0">
      <pane xSplit="1" topLeftCell="B1" state="frozen"/>
    </sheetView>
  </sheetViews>
  <sheetFormatPr baseColWidth="13" defaultRowHeight="18" customHeight="1"/>
  <cols>
    <col min="1" max="1" width="17.8008" style="73" customWidth="1"/>
    <col min="2" max="2" width="22.9336" style="73" customWidth="1"/>
    <col min="3" max="3" width="17.4023" style="73" customWidth="1"/>
    <col min="4" max="5" width="36.0117" style="73" customWidth="1"/>
    <col min="6" max="6" width="23.2031" style="73" customWidth="1"/>
    <col min="7" max="8" width="31.1523" style="73" customWidth="1"/>
    <col min="9" max="9" width="36.2812" style="73" customWidth="1"/>
    <col min="10" max="10" width="38.4414" style="76" customWidth="1"/>
    <col min="11" max="11" width="32.2344" style="76" customWidth="1"/>
    <col min="12" max="12" width="35.4727" style="76" customWidth="1"/>
    <col min="13" max="13" width="41.2734" style="76" customWidth="1"/>
  </cols>
  <sheetData>
    <row r="1" spans="2:13" ht="42.75" customHeight="1">
      <c r="B1" s="8" t="s">
        <v>406</v>
      </c>
      <c r="C1" s="8" t="s">
        <v>407</v>
      </c>
      <c r="D1" s="8" t="s">
        <v>408</v>
      </c>
      <c r="E1" s="8" t="s">
        <v>409</v>
      </c>
      <c r="F1" s="8" t="s">
        <v>410</v>
      </c>
      <c r="G1" s="26" t="s">
        <v>411</v>
      </c>
      <c r="H1" s="26" t="s">
        <v>412</v>
      </c>
      <c r="I1" s="8" t="s">
        <v>413</v>
      </c>
      <c r="J1" s="14" t="s">
        <v>414</v>
      </c>
      <c r="K1" s="14" t="s">
        <v>306</v>
      </c>
      <c r="L1" s="14" t="s">
        <v>415</v>
      </c>
      <c r="M1" s="14" t="s">
        <v>416</v>
      </c>
    </row>
    <row r="2" spans="1:13">
      <c r="A2" s="8" t="s">
        <v>417</v>
      </c>
      <c r="B2" s="20" t="s">
        <v>418</v>
      </c>
      <c r="C2" s="20" t="s">
        <v>419</v>
      </c>
      <c r="D2" s="8" t="s">
        <v>420</v>
      </c>
      <c r="E2" s="8" t="s">
        <v>421</v>
      </c>
      <c r="F2" s="26" t="s">
        <v>422</v>
      </c>
      <c r="I2" s="23" t="s">
        <v>423</v>
      </c>
      <c r="J2" s="14" t="str">
        <f>=IF(ISBLANK(F2),"","("&amp;""""&amp;SUBSTITUTE(F2,"
",""""&amp;","&amp;"""")&amp;""""&amp;")")</f>
        <v>("Task_Test_01-1","Task_Test_01-2","Task_Test_01-3","Task_Test_01-4")</v>
      </c>
      <c r="K2" s="14" t="str">
        <f>=IF(ISBLANK(G2),"","("&amp;""""&amp;SUBSTITUTE(G2,"
",""""&amp;","&amp;"""")&amp;""""&amp;")")</f>
        <v/>
      </c>
      <c r="L2" s="14" t="str">
        <f>=IF(ISBLANK(H2),"","("&amp;""""&amp;SUBSTITUTE(H2,"
",""""&amp;","&amp;"""")&amp;""""&amp;")")</f>
        <v/>
      </c>
      <c r="M2" s="14" t="str">
        <f>=IF(ISBLANK(I2),"","("&amp;""""&amp;SUBSTITUTE(I2,"
",""""&amp;","&amp;"""")&amp;""""&amp;")")</f>
        <v>("任务.接取# Task_Test_02","背包# Item_Coin+100")</v>
      </c>
    </row>
    <row r="3" spans="1:13">
      <c r="A3" s="8" t="s">
        <v>426</v>
      </c>
      <c r="B3" s="20" t="s">
        <v>427</v>
      </c>
      <c r="C3" s="20" t="s">
        <v>419</v>
      </c>
      <c r="D3" s="8" t="s">
        <v>428</v>
      </c>
      <c r="G3" s="8" t="s"/>
      <c r="H3" s="27" t="s">
        <v>381</v>
      </c>
      <c r="J3" s="14" t="str">
        <f>=IF(ISBLANK(F3),"","("&amp;""""&amp;SUBSTITUTE(F3,"
",""""&amp;","&amp;"""")&amp;""""&amp;")")</f>
        <v/>
      </c>
      <c r="K3" s="14" t="str">
        <f>=IF(ISBLANK(G3),"","("&amp;""""&amp;SUBSTITUTE(G3,"
",""""&amp;","&amp;"""")&amp;""""&amp;")")</f>
        <v/>
      </c>
      <c r="L3" s="14" t="str">
        <f>=IF(ISBLANK(H3),"","("&amp;""""&amp;SUBSTITUTE(H3,"
",""""&amp;","&amp;"""")&amp;""""&amp;")")</f>
        <v>("背包#Item_Coin&gt;=10")</v>
      </c>
      <c r="M3" s="14" t="str">
        <f>=IF(ISBLANK(I3),"","("&amp;""""&amp;SUBSTITUTE(I3,"
",""""&amp;","&amp;"""")&amp;""""&amp;")")</f>
        <v/>
      </c>
    </row>
    <row r="4" spans="1:13">
      <c r="A4" s="8" t="s">
        <v>429</v>
      </c>
      <c r="B4" s="20" t="s">
        <v>427</v>
      </c>
      <c r="C4" s="20" t="s">
        <v>419</v>
      </c>
      <c r="D4" s="8" t="s">
        <v>430</v>
      </c>
      <c r="G4" s="8" t="s"/>
      <c r="H4" s="27" t="s">
        <v>389</v>
      </c>
      <c r="J4" s="14" t="str">
        <f>=IF(ISBLANK(F4),"","("&amp;""""&amp;SUBSTITUTE(F4,"
",""""&amp;","&amp;"""")&amp;""""&amp;")")</f>
        <v/>
      </c>
      <c r="K4" s="14" t="str">
        <f>=IF(ISBLANK(G4),"","("&amp;""""&amp;SUBSTITUTE(G4,"
",""""&amp;","&amp;"""")&amp;""""&amp;")")</f>
        <v/>
      </c>
      <c r="L4" s="14" t="str">
        <f>=IF(ISBLANK(H4),"","("&amp;""""&amp;SUBSTITUTE(H4,"
",""""&amp;","&amp;"""")&amp;""""&amp;")")</f>
        <v>("背包#Item_Coin&gt;=100")</v>
      </c>
      <c r="M4" s="14" t="str">
        <f>=IF(ISBLANK(I4),"","("&amp;""""&amp;SUBSTITUTE(I4,"
",""""&amp;","&amp;"""")&amp;""""&amp;")")</f>
        <v/>
      </c>
    </row>
    <row r="5" spans="1:13">
      <c r="A5" s="8" t="s">
        <v>431</v>
      </c>
      <c r="B5" s="20" t="s">
        <v>427</v>
      </c>
      <c r="C5" s="20" t="s">
        <v>432</v>
      </c>
      <c r="D5" s="8" t="s">
        <v>433</v>
      </c>
      <c r="G5" s="8" t="s"/>
      <c r="H5" s="27" t="s">
        <v>396</v>
      </c>
      <c r="J5" s="14" t="str">
        <f>=IF(ISBLANK(F5),"","("&amp;""""&amp;SUBSTITUTE(F5,"
",""""&amp;","&amp;"""")&amp;""""&amp;")")</f>
        <v/>
      </c>
      <c r="K5" s="14" t="str">
        <f>=IF(ISBLANK(G5),"","("&amp;""""&amp;SUBSTITUTE(G5,"
",""""&amp;","&amp;"""")&amp;""""&amp;")")</f>
        <v/>
      </c>
      <c r="L5" s="14" t="str">
        <f>=IF(ISBLANK(H5),"","("&amp;""""&amp;SUBSTITUTE(H5,"
",""""&amp;","&amp;"""")&amp;""""&amp;")")</f>
        <v>("背包#Item_Coin&gt;=1000")</v>
      </c>
      <c r="M5" s="14" t="str">
        <f>=IF(ISBLANK(I5),"","("&amp;""""&amp;SUBSTITUTE(I5,"
",""""&amp;","&amp;"""")&amp;""""&amp;")")</f>
        <v/>
      </c>
    </row>
    <row r="6" spans="1:13">
      <c r="A6" s="8" t="s">
        <v>434</v>
      </c>
      <c r="B6" s="20" t="s">
        <v>427</v>
      </c>
      <c r="C6" s="20" t="s">
        <v>432</v>
      </c>
      <c r="D6" s="8" t="s">
        <v>435</v>
      </c>
      <c r="G6" s="27" t="s">
        <v>436</v>
      </c>
      <c r="H6" s="27" t="s">
        <v>34</v>
      </c>
      <c r="J6" s="14" t="str">
        <f>=IF(ISBLANK(F6),"","("&amp;""""&amp;SUBSTITUTE(F6,"
",""""&amp;","&amp;"""")&amp;""""&amp;")")</f>
        <v/>
      </c>
      <c r="K6" s="14" t="str">
        <f>=IF(ISBLANK(G6),"","("&amp;""""&amp;SUBSTITUTE(G6,"
",""""&amp;","&amp;"""")&amp;""""&amp;")")</f>
        <v>("任务# Task_Test_01-3=1")</v>
      </c>
      <c r="L6" s="14" t="str">
        <f>=IF(ISBLANK(H6),"","("&amp;""""&amp;SUBSTITUTE(H6,"
",""""&amp;","&amp;"""")&amp;""""&amp;")")</f>
        <v>("剧情# P_Test_001-1=1")</v>
      </c>
      <c r="M6" s="14" t="str">
        <f>=IF(ISBLANK(I6),"","("&amp;""""&amp;SUBSTITUTE(I6,"
",""""&amp;","&amp;"""")&amp;""""&amp;")")</f>
        <v/>
      </c>
    </row>
    <row r="7" spans="2:13">
      <c r="B7" s="20" t="s"/>
      <c r="C7" s="20" t="s"/>
      <c r="J7" s="14" t="str">
        <f>=IF(ISBLANK(F7),"","("&amp;""""&amp;SUBSTITUTE(F7,"
",""""&amp;","&amp;"""")&amp;""""&amp;")")</f>
        <v/>
      </c>
      <c r="K7" s="14" t="str">
        <f>=IF(ISBLANK(G7),"","("&amp;""""&amp;SUBSTITUTE(G7,"
",""""&amp;","&amp;"""")&amp;""""&amp;")")</f>
        <v/>
      </c>
      <c r="L7" s="14" t="str">
        <f>=IF(ISBLANK(H7),"","("&amp;""""&amp;SUBSTITUTE(H7,"
",""""&amp;","&amp;"""")&amp;""""&amp;")")</f>
        <v/>
      </c>
      <c r="M7" s="14" t="str">
        <f>=IF(ISBLANK(I7),"","("&amp;""""&amp;SUBSTITUTE(I7,"
",""""&amp;","&amp;"""")&amp;""""&amp;")")</f>
        <v/>
      </c>
    </row>
    <row r="8" spans="1:13">
      <c r="A8" s="8" t="s">
        <v>439</v>
      </c>
      <c r="B8" s="20" t="s">
        <v>440</v>
      </c>
      <c r="C8" s="20" t="s">
        <v>419</v>
      </c>
      <c r="D8" s="8" t="s">
        <v>441</v>
      </c>
      <c r="H8" s="8" t="s">
        <v>442</v>
      </c>
      <c r="J8" s="14" t="str">
        <f>=IF(ISBLANK(F8),"","("&amp;""""&amp;SUBSTITUTE(F8,"
",""""&amp;","&amp;"""")&amp;""""&amp;")")</f>
        <v/>
      </c>
      <c r="K8" s="14" t="str">
        <f>=IF(ISBLANK(G8),"","("&amp;""""&amp;SUBSTITUTE(G8,"
",""""&amp;","&amp;"""")&amp;""""&amp;")")</f>
        <v/>
      </c>
      <c r="L8" s="14" t="str">
        <f>=IF(ISBLANK(H8),"","("&amp;""""&amp;SUBSTITUTE(H8,"
",""""&amp;","&amp;"""")&amp;""""&amp;")")</f>
        <v>("背包#Item_Coin&gt;=10000")</v>
      </c>
      <c r="M8" s="14" t="str">
        <f>=IF(ISBLANK(I8),"","("&amp;""""&amp;SUBSTITUTE(I8,"
",""""&amp;","&amp;"""")&amp;""""&amp;")")</f>
        <v/>
      </c>
    </row>
    <row r="9" spans="2:13">
      <c r="B9" s="20" t="s"/>
      <c r="C9" s="20" t="s"/>
      <c r="J9" s="14" t="str">
        <f>=IF(ISBLANK(F9),"","("&amp;""""&amp;SUBSTITUTE(F9,"
",""""&amp;","&amp;"""")&amp;""""&amp;")")</f>
        <v/>
      </c>
      <c r="K9" s="14" t="str">
        <f>=IF(ISBLANK(G9),"","("&amp;""""&amp;SUBSTITUTE(G9,"
",""""&amp;","&amp;"""")&amp;""""&amp;")")</f>
        <v/>
      </c>
      <c r="L9" s="14" t="str">
        <f>=IF(ISBLANK(H9),"","("&amp;""""&amp;SUBSTITUTE(H9,"
",""""&amp;","&amp;"""")&amp;""""&amp;")")</f>
        <v/>
      </c>
      <c r="M9" s="14" t="str">
        <f>=IF(ISBLANK(I9),"","("&amp;""""&amp;SUBSTITUTE(I9,"
",""""&amp;","&amp;"""")&amp;""""&amp;")")</f>
        <v/>
      </c>
    </row>
    <row r="10" spans="2:13">
      <c r="B10" s="20" t="s"/>
      <c r="C10" s="20" t="s"/>
      <c r="J10" s="14" t="str">
        <f>=IF(ISBLANK(F10),"","("&amp;""""&amp;SUBSTITUTE(F10,"
",""""&amp;","&amp;"""")&amp;""""&amp;")")</f>
        <v/>
      </c>
      <c r="K10" s="14" t="str">
        <f>=IF(ISBLANK(G10),"","("&amp;""""&amp;SUBSTITUTE(G10,"
",""""&amp;","&amp;"""")&amp;""""&amp;")")</f>
        <v/>
      </c>
      <c r="L10" s="14" t="str">
        <f>=IF(ISBLANK(H10),"","("&amp;""""&amp;SUBSTITUTE(H10,"
",""""&amp;","&amp;"""")&amp;""""&amp;")")</f>
        <v/>
      </c>
      <c r="M10" s="14" t="str">
        <f>=IF(ISBLANK(I10),"","("&amp;""""&amp;SUBSTITUTE(I10,"
",""""&amp;","&amp;"""")&amp;""""&amp;")")</f>
        <v/>
      </c>
    </row>
    <row r="11" spans="2:13">
      <c r="B11" s="20" t="s"/>
      <c r="C11" s="20" t="s"/>
      <c r="J11" s="14" t="str">
        <f>=IF(ISBLANK(F11),"","("&amp;""""&amp;SUBSTITUTE(F11,"
",""""&amp;","&amp;"""")&amp;""""&amp;")")</f>
        <v/>
      </c>
      <c r="K11" s="14" t="str">
        <f>=IF(ISBLANK(G11),"","("&amp;""""&amp;SUBSTITUTE(G11,"
",""""&amp;","&amp;"""")&amp;""""&amp;")")</f>
        <v/>
      </c>
      <c r="L11" s="14" t="str">
        <f>=IF(ISBLANK(H11),"","("&amp;""""&amp;SUBSTITUTE(H11,"
",""""&amp;","&amp;"""")&amp;""""&amp;")")</f>
        <v/>
      </c>
      <c r="M11" s="14" t="str">
        <f>=IF(ISBLANK(I11),"","("&amp;""""&amp;SUBSTITUTE(I11,"
",""""&amp;","&amp;"""")&amp;""""&amp;")")</f>
        <v/>
      </c>
    </row>
    <row r="12" spans="2:13">
      <c r="B12" s="20" t="s"/>
      <c r="C12" s="20" t="s"/>
      <c r="J12" s="14" t="str">
        <f>=IF(ISBLANK(F12),"","("&amp;""""&amp;SUBSTITUTE(F12,"
",""""&amp;","&amp;"""")&amp;""""&amp;")")</f>
        <v/>
      </c>
      <c r="K12" s="14" t="str">
        <f>=IF(ISBLANK(G12),"","("&amp;""""&amp;SUBSTITUTE(G12,"
",""""&amp;","&amp;"""")&amp;""""&amp;")")</f>
        <v/>
      </c>
      <c r="L12" s="14" t="str">
        <f>=IF(ISBLANK(H12),"","("&amp;""""&amp;SUBSTITUTE(H12,"
",""""&amp;","&amp;"""")&amp;""""&amp;")")</f>
        <v/>
      </c>
      <c r="M12" s="14" t="str">
        <f>=IF(ISBLANK(I12),"","("&amp;""""&amp;SUBSTITUTE(I12,"
",""""&amp;","&amp;"""")&amp;""""&amp;")")</f>
        <v/>
      </c>
    </row>
    <row r="13" spans="2:13">
      <c r="B13" s="20" t="s"/>
      <c r="C13" s="20" t="s"/>
      <c r="J13" s="14" t="str">
        <f>=IF(ISBLANK(F13),"","("&amp;""""&amp;SUBSTITUTE(F13,"
",""""&amp;","&amp;"""")&amp;""""&amp;")")</f>
        <v/>
      </c>
      <c r="K13" s="14" t="str">
        <f>=IF(ISBLANK(G13),"","("&amp;""""&amp;SUBSTITUTE(G13,"
",""""&amp;","&amp;"""")&amp;""""&amp;")")</f>
        <v/>
      </c>
      <c r="L13" s="14" t="str">
        <f>=IF(ISBLANK(H13),"","("&amp;""""&amp;SUBSTITUTE(H13,"
",""""&amp;","&amp;"""")&amp;""""&amp;")")</f>
        <v/>
      </c>
      <c r="M13" s="14" t="str">
        <f>=IF(ISBLANK(I13),"","("&amp;""""&amp;SUBSTITUTE(I13,"
",""""&amp;","&amp;"""")&amp;""""&amp;")")</f>
        <v/>
      </c>
    </row>
    <row r="14" spans="2:13">
      <c r="B14" s="20" t="s"/>
      <c r="C14" s="20" t="s"/>
      <c r="J14" s="14" t="str">
        <f>=IF(ISBLANK(F14),"","("&amp;""""&amp;SUBSTITUTE(F14,"
",""""&amp;","&amp;"""")&amp;""""&amp;")")</f>
        <v/>
      </c>
      <c r="K14" s="14" t="str">
        <f>=IF(ISBLANK(G14),"","("&amp;""""&amp;SUBSTITUTE(G14,"
",""""&amp;","&amp;"""")&amp;""""&amp;")")</f>
        <v/>
      </c>
      <c r="L14" s="14" t="str">
        <f>=IF(ISBLANK(H14),"","("&amp;""""&amp;SUBSTITUTE(H14,"
",""""&amp;","&amp;"""")&amp;""""&amp;")")</f>
        <v/>
      </c>
      <c r="M14" s="14" t="str">
        <f>=IF(ISBLANK(I14),"","("&amp;""""&amp;SUBSTITUTE(I14,"
",""""&amp;","&amp;"""")&amp;""""&amp;")")</f>
        <v/>
      </c>
    </row>
    <row r="15" spans="2:13">
      <c r="B15" s="20" t="s"/>
      <c r="C15" s="20" t="s"/>
      <c r="J15" s="14" t="str">
        <f>=IF(ISBLANK(F15),"","("&amp;""""&amp;SUBSTITUTE(F15,"
",""""&amp;","&amp;"""")&amp;""""&amp;")")</f>
        <v/>
      </c>
      <c r="K15" s="14" t="str">
        <f>=IF(ISBLANK(G15),"","("&amp;""""&amp;SUBSTITUTE(G15,"
",""""&amp;","&amp;"""")&amp;""""&amp;")")</f>
        <v/>
      </c>
      <c r="L15" s="14" t="str">
        <f>=IF(ISBLANK(H15),"","("&amp;""""&amp;SUBSTITUTE(H15,"
",""""&amp;","&amp;"""")&amp;""""&amp;")")</f>
        <v/>
      </c>
      <c r="M15" s="14" t="str">
        <f>=IF(ISBLANK(I15),"","("&amp;""""&amp;SUBSTITUTE(I15,"
",""""&amp;","&amp;"""")&amp;""""&amp;")")</f>
        <v/>
      </c>
    </row>
    <row r="16" spans="2:13">
      <c r="B16" s="20" t="s"/>
      <c r="C16" s="20" t="s"/>
      <c r="J16" s="14" t="str">
        <f>=IF(ISBLANK(F16),"","("&amp;""""&amp;SUBSTITUTE(F16,"
",""""&amp;","&amp;"""")&amp;""""&amp;")")</f>
        <v/>
      </c>
      <c r="K16" s="14" t="str">
        <f>=IF(ISBLANK(G16),"","("&amp;""""&amp;SUBSTITUTE(G16,"
",""""&amp;","&amp;"""")&amp;""""&amp;")")</f>
        <v/>
      </c>
      <c r="L16" s="14" t="str">
        <f>=IF(ISBLANK(H16),"","("&amp;""""&amp;SUBSTITUTE(H16,"
",""""&amp;","&amp;"""")&amp;""""&amp;")")</f>
        <v/>
      </c>
      <c r="M16" s="14" t="str">
        <f>=IF(ISBLANK(I16),"","("&amp;""""&amp;SUBSTITUTE(I16,"
",""""&amp;","&amp;"""")&amp;""""&amp;")")</f>
        <v/>
      </c>
    </row>
    <row r="17" spans="2:13">
      <c r="B17" s="20" t="s"/>
      <c r="C17" s="20" t="s"/>
      <c r="J17" s="14" t="str">
        <f>=IF(ISBLANK(F17),"","("&amp;""""&amp;SUBSTITUTE(F17,"
",""""&amp;","&amp;"""")&amp;""""&amp;")")</f>
        <v/>
      </c>
      <c r="K17" s="14" t="str">
        <f>=IF(ISBLANK(G17),"","("&amp;""""&amp;SUBSTITUTE(G17,"
",""""&amp;","&amp;"""")&amp;""""&amp;")")</f>
        <v/>
      </c>
      <c r="L17" s="14" t="str">
        <f>=IF(ISBLANK(H17),"","("&amp;""""&amp;SUBSTITUTE(H17,"
",""""&amp;","&amp;"""")&amp;""""&amp;")")</f>
        <v/>
      </c>
      <c r="M17" s="14" t="str">
        <f>=IF(ISBLANK(I17),"","("&amp;""""&amp;SUBSTITUTE(I17,"
",""""&amp;","&amp;"""")&amp;""""&amp;")")</f>
        <v/>
      </c>
    </row>
    <row r="18" spans="2:13">
      <c r="B18" s="20" t="s"/>
      <c r="C18" s="20" t="s"/>
      <c r="J18" s="14" t="str">
        <f>=IF(ISBLANK(F18),"","("&amp;""""&amp;SUBSTITUTE(F18,"
",""""&amp;","&amp;"""")&amp;""""&amp;")")</f>
        <v/>
      </c>
      <c r="K18" s="14" t="str">
        <f>=IF(ISBLANK(G18),"","("&amp;""""&amp;SUBSTITUTE(G18,"
",""""&amp;","&amp;"""")&amp;""""&amp;")")</f>
        <v/>
      </c>
      <c r="L18" s="14" t="str">
        <f>=IF(ISBLANK(H18),"","("&amp;""""&amp;SUBSTITUTE(H18,"
",""""&amp;","&amp;"""")&amp;""""&amp;")")</f>
        <v/>
      </c>
      <c r="M18" s="14" t="str">
        <f>=IF(ISBLANK(I18),"","("&amp;""""&amp;SUBSTITUTE(I18,"
",""""&amp;","&amp;"""")&amp;""""&amp;")")</f>
        <v/>
      </c>
    </row>
    <row r="19" spans="2:13">
      <c r="B19" s="20" t="s"/>
      <c r="C19" s="20" t="s"/>
      <c r="J19" s="14" t="str">
        <f>=IF(ISBLANK(F19),"","("&amp;""""&amp;SUBSTITUTE(F19,"
",""""&amp;","&amp;"""")&amp;""""&amp;")")</f>
        <v/>
      </c>
      <c r="K19" s="14" t="str">
        <f>=IF(ISBLANK(G19),"","("&amp;""""&amp;SUBSTITUTE(G19,"
",""""&amp;","&amp;"""")&amp;""""&amp;")")</f>
        <v/>
      </c>
      <c r="L19" s="14" t="str">
        <f>=IF(ISBLANK(H19),"","("&amp;""""&amp;SUBSTITUTE(H19,"
",""""&amp;","&amp;"""")&amp;""""&amp;")")</f>
        <v/>
      </c>
      <c r="M19" s="14" t="str">
        <f>=IF(ISBLANK(I19),"","("&amp;""""&amp;SUBSTITUTE(I19,"
",""""&amp;","&amp;"""")&amp;""""&amp;")")</f>
        <v/>
      </c>
    </row>
    <row r="20" spans="2:13">
      <c r="B20" s="20" t="s"/>
      <c r="C20" s="20" t="s"/>
      <c r="J20" s="14" t="str">
        <f>=IF(ISBLANK(F20),"","("&amp;""""&amp;SUBSTITUTE(F20,"
",""""&amp;","&amp;"""")&amp;""""&amp;")")</f>
        <v/>
      </c>
      <c r="K20" s="14" t="str">
        <f>=IF(ISBLANK(G20),"","("&amp;""""&amp;SUBSTITUTE(G20,"
",""""&amp;","&amp;"""")&amp;""""&amp;")")</f>
        <v/>
      </c>
      <c r="L20" s="14" t="str">
        <f>=IF(ISBLANK(H20),"","("&amp;""""&amp;SUBSTITUTE(H20,"
",""""&amp;","&amp;"""")&amp;""""&amp;")")</f>
        <v/>
      </c>
      <c r="M20" s="14" t="str">
        <f>=IF(ISBLANK(I20),"","("&amp;""""&amp;SUBSTITUTE(I20,"
",""""&amp;","&amp;"""")&amp;""""&amp;")")</f>
        <v/>
      </c>
    </row>
    <row r="21" spans="2:13">
      <c r="B21" s="20" t="s"/>
      <c r="C21" s="20" t="s"/>
      <c r="J21" s="14" t="str">
        <f>=IF(ISBLANK(F21),"","("&amp;""""&amp;SUBSTITUTE(F21,"
",""""&amp;","&amp;"""")&amp;""""&amp;")")</f>
        <v/>
      </c>
      <c r="K21" s="14" t="str">
        <f>=IF(ISBLANK(G21),"","("&amp;""""&amp;SUBSTITUTE(G21,"
",""""&amp;","&amp;"""")&amp;""""&amp;")")</f>
        <v/>
      </c>
      <c r="L21" s="14" t="str">
        <f>=IF(ISBLANK(H21),"","("&amp;""""&amp;SUBSTITUTE(H21,"
",""""&amp;","&amp;"""")&amp;""""&amp;")")</f>
        <v/>
      </c>
      <c r="M21" s="14" t="str">
        <f>=IF(ISBLANK(I21),"","("&amp;""""&amp;SUBSTITUTE(I21,"
",""""&amp;","&amp;"""")&amp;""""&amp;")")</f>
        <v/>
      </c>
    </row>
    <row r="22" spans="2:13">
      <c r="B22" s="20" t="s"/>
      <c r="C22" s="20" t="s"/>
      <c r="J22" s="14" t="str">
        <f>=IF(ISBLANK(F22),"","("&amp;""""&amp;SUBSTITUTE(F22,"
",""""&amp;","&amp;"""")&amp;""""&amp;")")</f>
        <v/>
      </c>
      <c r="K22" s="14" t="str">
        <f>=IF(ISBLANK(G22),"","("&amp;""""&amp;SUBSTITUTE(G22,"
",""""&amp;","&amp;"""")&amp;""""&amp;")")</f>
        <v/>
      </c>
      <c r="L22" s="14" t="str">
        <f>=IF(ISBLANK(H22),"","("&amp;""""&amp;SUBSTITUTE(H22,"
",""""&amp;","&amp;"""")&amp;""""&amp;")")</f>
        <v/>
      </c>
      <c r="M22" s="14" t="str">
        <f>=IF(ISBLANK(I22),"","("&amp;""""&amp;SUBSTITUTE(I22,"
",""""&amp;","&amp;"""")&amp;""""&amp;")")</f>
        <v/>
      </c>
    </row>
    <row r="23" spans="2:13">
      <c r="B23" s="20" t="s"/>
      <c r="C23" s="20" t="s"/>
      <c r="J23" s="14" t="str">
        <f>=IF(ISBLANK(F23),"","("&amp;""""&amp;SUBSTITUTE(F23,"
",""""&amp;","&amp;"""")&amp;""""&amp;")")</f>
        <v/>
      </c>
      <c r="K23" s="14" t="str">
        <f>=IF(ISBLANK(G23),"","("&amp;""""&amp;SUBSTITUTE(G23,"
",""""&amp;","&amp;"""")&amp;""""&amp;")")</f>
        <v/>
      </c>
      <c r="L23" s="14" t="str">
        <f>=IF(ISBLANK(H23),"","("&amp;""""&amp;SUBSTITUTE(H23,"
",""""&amp;","&amp;"""")&amp;""""&amp;")")</f>
        <v/>
      </c>
      <c r="M23" s="14" t="str">
        <f>=IF(ISBLANK(I23),"","("&amp;""""&amp;SUBSTITUTE(I23,"
",""""&amp;","&amp;"""")&amp;""""&amp;")")</f>
        <v/>
      </c>
    </row>
    <row r="24" spans="2:13">
      <c r="B24" s="20" t="s"/>
      <c r="C24" s="20" t="s"/>
      <c r="J24" s="14" t="str">
        <f>=IF(ISBLANK(F24),"","("&amp;""""&amp;SUBSTITUTE(F24,"
",""""&amp;","&amp;"""")&amp;""""&amp;")")</f>
        <v/>
      </c>
      <c r="K24" s="14" t="str">
        <f>=IF(ISBLANK(G24),"","("&amp;""""&amp;SUBSTITUTE(G24,"
",""""&amp;","&amp;"""")&amp;""""&amp;")")</f>
        <v/>
      </c>
      <c r="L24" s="14" t="str">
        <f>=IF(ISBLANK(H24),"","("&amp;""""&amp;SUBSTITUTE(H24,"
",""""&amp;","&amp;"""")&amp;""""&amp;")")</f>
        <v/>
      </c>
      <c r="M24" s="14" t="str">
        <f>=IF(ISBLANK(I24),"","("&amp;""""&amp;SUBSTITUTE(I24,"
",""""&amp;","&amp;"""")&amp;""""&amp;")")</f>
        <v/>
      </c>
    </row>
    <row r="25" spans="2:13">
      <c r="B25" s="20" t="s"/>
      <c r="C25" s="20" t="s"/>
      <c r="J25" s="14" t="str">
        <f>=IF(ISBLANK(F25),"","("&amp;""""&amp;SUBSTITUTE(F25,"
",""""&amp;","&amp;"""")&amp;""""&amp;")")</f>
        <v/>
      </c>
      <c r="K25" s="14" t="str">
        <f>=IF(ISBLANK(G25),"","("&amp;""""&amp;SUBSTITUTE(G25,"
",""""&amp;","&amp;"""")&amp;""""&amp;")")</f>
        <v/>
      </c>
      <c r="L25" s="14" t="str">
        <f>=IF(ISBLANK(H25),"","("&amp;""""&amp;SUBSTITUTE(H25,"
",""""&amp;","&amp;"""")&amp;""""&amp;")")</f>
        <v/>
      </c>
      <c r="M25" s="14" t="str">
        <f>=IF(ISBLANK(I25),"","("&amp;""""&amp;SUBSTITUTE(I25,"
",""""&amp;","&amp;"""")&amp;""""&amp;")")</f>
        <v/>
      </c>
    </row>
    <row r="26" spans="2:13">
      <c r="B26" s="20" t="s"/>
      <c r="C26" s="20" t="s"/>
      <c r="J26" s="14" t="str">
        <f>=IF(ISBLANK(F26),"","("&amp;""""&amp;SUBSTITUTE(F26,"
",""""&amp;","&amp;"""")&amp;""""&amp;")")</f>
        <v/>
      </c>
      <c r="K26" s="14" t="str">
        <f>=IF(ISBLANK(G26),"","("&amp;""""&amp;SUBSTITUTE(G26,"
",""""&amp;","&amp;"""")&amp;""""&amp;")")</f>
        <v/>
      </c>
      <c r="L26" s="14" t="str">
        <f>=IF(ISBLANK(H26),"","("&amp;""""&amp;SUBSTITUTE(H26,"
",""""&amp;","&amp;"""")&amp;""""&amp;")")</f>
        <v/>
      </c>
      <c r="M26" s="14" t="str">
        <f>=IF(ISBLANK(I26),"","("&amp;""""&amp;SUBSTITUTE(I26,"
",""""&amp;","&amp;"""")&amp;""""&amp;")")</f>
        <v/>
      </c>
    </row>
    <row r="27" spans="2:13">
      <c r="B27" s="20" t="s"/>
      <c r="C27" s="20" t="s"/>
      <c r="J27" s="14" t="str">
        <f>=IF(ISBLANK(F27),"","("&amp;""""&amp;SUBSTITUTE(F27,"
",""""&amp;","&amp;"""")&amp;""""&amp;")")</f>
        <v/>
      </c>
      <c r="K27" s="14" t="str">
        <f>=IF(ISBLANK(G27),"","("&amp;""""&amp;SUBSTITUTE(G27,"
",""""&amp;","&amp;"""")&amp;""""&amp;")")</f>
        <v/>
      </c>
      <c r="L27" s="14" t="str">
        <f>=IF(ISBLANK(H27),"","("&amp;""""&amp;SUBSTITUTE(H27,"
",""""&amp;","&amp;"""")&amp;""""&amp;")")</f>
        <v/>
      </c>
      <c r="M27" s="14" t="str">
        <f>=IF(ISBLANK(I27),"","("&amp;""""&amp;SUBSTITUTE(I27,"
",""""&amp;","&amp;"""")&amp;""""&amp;")")</f>
        <v/>
      </c>
    </row>
    <row r="28" spans="2:13">
      <c r="B28" s="20" t="s"/>
      <c r="C28" s="20" t="s"/>
      <c r="J28" s="14" t="str">
        <f>=IF(ISBLANK(F28),"","("&amp;""""&amp;SUBSTITUTE(F28,"
",""""&amp;","&amp;"""")&amp;""""&amp;")")</f>
        <v/>
      </c>
      <c r="K28" s="14" t="str">
        <f>=IF(ISBLANK(G28),"","("&amp;""""&amp;SUBSTITUTE(G28,"
",""""&amp;","&amp;"""")&amp;""""&amp;")")</f>
        <v/>
      </c>
      <c r="L28" s="14" t="str">
        <f>=IF(ISBLANK(H28),"","("&amp;""""&amp;SUBSTITUTE(H28,"
",""""&amp;","&amp;"""")&amp;""""&amp;")")</f>
        <v/>
      </c>
      <c r="M28" s="14" t="str">
        <f>=IF(ISBLANK(I28),"","("&amp;""""&amp;SUBSTITUTE(I28,"
",""""&amp;","&amp;"""")&amp;""""&amp;")")</f>
        <v/>
      </c>
    </row>
    <row r="29" spans="2:13">
      <c r="B29" s="20" t="s"/>
      <c r="C29" s="20" t="s"/>
      <c r="J29" s="14" t="str">
        <f>=IF(ISBLANK(F29),"","("&amp;""""&amp;SUBSTITUTE(F29,"
",""""&amp;","&amp;"""")&amp;""""&amp;")")</f>
        <v/>
      </c>
      <c r="K29" s="14" t="str">
        <f>=IF(ISBLANK(G29),"","("&amp;""""&amp;SUBSTITUTE(G29,"
",""""&amp;","&amp;"""")&amp;""""&amp;")")</f>
        <v/>
      </c>
      <c r="L29" s="14" t="str">
        <f>=IF(ISBLANK(H29),"","("&amp;""""&amp;SUBSTITUTE(H29,"
",""""&amp;","&amp;"""")&amp;""""&amp;")")</f>
        <v/>
      </c>
      <c r="M29" s="14" t="str">
        <f>=IF(ISBLANK(I29),"","("&amp;""""&amp;SUBSTITUTE(I29,"
",""""&amp;","&amp;"""")&amp;""""&amp;")")</f>
        <v/>
      </c>
    </row>
    <row r="30" spans="2:13">
      <c r="B30" s="20" t="s"/>
      <c r="C30" s="20" t="s"/>
      <c r="J30" s="14" t="str">
        <f>=IF(ISBLANK(F30),"","("&amp;""""&amp;SUBSTITUTE(F30,"
",""""&amp;","&amp;"""")&amp;""""&amp;")")</f>
        <v/>
      </c>
      <c r="K30" s="14" t="str">
        <f>=IF(ISBLANK(G30),"","("&amp;""""&amp;SUBSTITUTE(G30,"
",""""&amp;","&amp;"""")&amp;""""&amp;")")</f>
        <v/>
      </c>
      <c r="L30" s="14" t="str">
        <f>=IF(ISBLANK(H30),"","("&amp;""""&amp;SUBSTITUTE(H30,"
",""""&amp;","&amp;"""")&amp;""""&amp;")")</f>
        <v/>
      </c>
      <c r="M30" s="14" t="str">
        <f>=IF(ISBLANK(I30),"","("&amp;""""&amp;SUBSTITUTE(I30,"
",""""&amp;","&amp;"""")&amp;""""&amp;")")</f>
        <v/>
      </c>
    </row>
    <row r="31" spans="2:13">
      <c r="B31" s="20" t="s"/>
      <c r="C31" s="20" t="s"/>
      <c r="J31" s="14" t="str">
        <f>=IF(ISBLANK(F31),"","("&amp;""""&amp;SUBSTITUTE(F31,"
",""""&amp;","&amp;"""")&amp;""""&amp;")")</f>
        <v/>
      </c>
      <c r="K31" s="14" t="str">
        <f>=IF(ISBLANK(G31),"","("&amp;""""&amp;SUBSTITUTE(G31,"
",""""&amp;","&amp;"""")&amp;""""&amp;")")</f>
        <v/>
      </c>
      <c r="L31" s="14" t="str">
        <f>=IF(ISBLANK(H31),"","("&amp;""""&amp;SUBSTITUTE(H31,"
",""""&amp;","&amp;"""")&amp;""""&amp;")")</f>
        <v/>
      </c>
      <c r="M31" s="14" t="str">
        <f>=IF(ISBLANK(I31),"","("&amp;""""&amp;SUBSTITUTE(I31,"
",""""&amp;","&amp;"""")&amp;""""&amp;")")</f>
        <v/>
      </c>
    </row>
    <row r="32" spans="2:13">
      <c r="B32" s="20" t="s"/>
      <c r="C32" s="20" t="s"/>
      <c r="J32" s="14" t="str">
        <f>=IF(ISBLANK(F32),"","("&amp;""""&amp;SUBSTITUTE(F32,"
",""""&amp;","&amp;"""")&amp;""""&amp;")")</f>
        <v/>
      </c>
      <c r="K32" s="14" t="str">
        <f>=IF(ISBLANK(G32),"","("&amp;""""&amp;SUBSTITUTE(G32,"
",""""&amp;","&amp;"""")&amp;""""&amp;")")</f>
        <v/>
      </c>
      <c r="L32" s="14" t="str">
        <f>=IF(ISBLANK(H32),"","("&amp;""""&amp;SUBSTITUTE(H32,"
",""""&amp;","&amp;"""")&amp;""""&amp;")")</f>
        <v/>
      </c>
      <c r="M32" s="14" t="str">
        <f>=IF(ISBLANK(I32),"","("&amp;""""&amp;SUBSTITUTE(I32,"
",""""&amp;","&amp;"""")&amp;""""&amp;")")</f>
        <v/>
      </c>
    </row>
    <row r="33" spans="2:13">
      <c r="B33" s="20" t="s"/>
      <c r="C33" s="20" t="s"/>
      <c r="J33" s="14" t="str">
        <f>=IF(ISBLANK(F33),"","("&amp;""""&amp;SUBSTITUTE(F33,"
",""""&amp;","&amp;"""")&amp;""""&amp;")")</f>
        <v/>
      </c>
      <c r="K33" s="14" t="str">
        <f>=IF(ISBLANK(G33),"","("&amp;""""&amp;SUBSTITUTE(G33,"
",""""&amp;","&amp;"""")&amp;""""&amp;")")</f>
        <v/>
      </c>
      <c r="L33" s="14" t="str">
        <f>=IF(ISBLANK(H33),"","("&amp;""""&amp;SUBSTITUTE(H33,"
",""""&amp;","&amp;"""")&amp;""""&amp;")")</f>
        <v/>
      </c>
      <c r="M33" s="14" t="str">
        <f>=IF(ISBLANK(I33),"","("&amp;""""&amp;SUBSTITUTE(I33,"
",""""&amp;","&amp;"""")&amp;""""&amp;")")</f>
        <v/>
      </c>
    </row>
    <row r="34" spans="2:13">
      <c r="B34" s="20" t="s"/>
      <c r="C34" s="20" t="s"/>
      <c r="J34" s="14" t="str">
        <f>=IF(ISBLANK(F34),"","("&amp;""""&amp;SUBSTITUTE(F34,"
",""""&amp;","&amp;"""")&amp;""""&amp;")")</f>
        <v/>
      </c>
      <c r="K34" s="14" t="str">
        <f>=IF(ISBLANK(G34),"","("&amp;""""&amp;SUBSTITUTE(G34,"
",""""&amp;","&amp;"""")&amp;""""&amp;")")</f>
        <v/>
      </c>
      <c r="L34" s="14" t="str">
        <f>=IF(ISBLANK(H34),"","("&amp;""""&amp;SUBSTITUTE(H34,"
",""""&amp;","&amp;"""")&amp;""""&amp;")")</f>
        <v/>
      </c>
      <c r="M34" s="14" t="str">
        <f>=IF(ISBLANK(I34),"","("&amp;""""&amp;SUBSTITUTE(I34,"
",""""&amp;","&amp;"""")&amp;""""&amp;")")</f>
        <v/>
      </c>
    </row>
    <row r="35" spans="2:13">
      <c r="B35" s="20" t="s"/>
      <c r="C35" s="20" t="s"/>
      <c r="J35" s="14" t="str">
        <f>=IF(ISBLANK(F35),"","("&amp;""""&amp;SUBSTITUTE(F35,"
",""""&amp;","&amp;"""")&amp;""""&amp;")")</f>
        <v/>
      </c>
      <c r="K35" s="14" t="str">
        <f>=IF(ISBLANK(G35),"","("&amp;""""&amp;SUBSTITUTE(G35,"
",""""&amp;","&amp;"""")&amp;""""&amp;")")</f>
        <v/>
      </c>
      <c r="L35" s="14" t="str">
        <f>=IF(ISBLANK(H35),"","("&amp;""""&amp;SUBSTITUTE(H35,"
",""""&amp;","&amp;"""")&amp;""""&amp;")")</f>
        <v/>
      </c>
      <c r="M35" s="14" t="str">
        <f>=IF(ISBLANK(I35),"","("&amp;""""&amp;SUBSTITUTE(I35,"
",""""&amp;","&amp;"""")&amp;""""&amp;")")</f>
        <v/>
      </c>
    </row>
    <row r="36" spans="2:13">
      <c r="B36" s="20" t="s"/>
      <c r="C36" s="20" t="s"/>
      <c r="J36" s="14" t="str">
        <f>=IF(ISBLANK(F36),"","("&amp;""""&amp;SUBSTITUTE(F36,"
",""""&amp;","&amp;"""")&amp;""""&amp;")")</f>
        <v/>
      </c>
      <c r="K36" s="14" t="str">
        <f>=IF(ISBLANK(G36),"","("&amp;""""&amp;SUBSTITUTE(G36,"
",""""&amp;","&amp;"""")&amp;""""&amp;")")</f>
        <v/>
      </c>
      <c r="L36" s="14" t="str">
        <f>=IF(ISBLANK(H36),"","("&amp;""""&amp;SUBSTITUTE(H36,"
",""""&amp;","&amp;"""")&amp;""""&amp;")")</f>
        <v/>
      </c>
      <c r="M36" s="14" t="str">
        <f>=IF(ISBLANK(I36),"","("&amp;""""&amp;SUBSTITUTE(I36,"
",""""&amp;","&amp;"""")&amp;""""&amp;")")</f>
        <v/>
      </c>
    </row>
    <row r="37" spans="2:13">
      <c r="B37" s="20" t="s"/>
      <c r="C37" s="20" t="s"/>
      <c r="J37" s="14" t="str">
        <f>=IF(ISBLANK(F37),"","("&amp;""""&amp;SUBSTITUTE(F37,"
",""""&amp;","&amp;"""")&amp;""""&amp;")")</f>
        <v/>
      </c>
      <c r="K37" s="14" t="str">
        <f>=IF(ISBLANK(G37),"","("&amp;""""&amp;SUBSTITUTE(G37,"
",""""&amp;","&amp;"""")&amp;""""&amp;")")</f>
        <v/>
      </c>
      <c r="L37" s="14" t="str">
        <f>=IF(ISBLANK(H37),"","("&amp;""""&amp;SUBSTITUTE(H37,"
",""""&amp;","&amp;"""")&amp;""""&amp;")")</f>
        <v/>
      </c>
      <c r="M37" s="14" t="str">
        <f>=IF(ISBLANK(I37),"","("&amp;""""&amp;SUBSTITUTE(I37,"
",""""&amp;","&amp;"""")&amp;""""&amp;")")</f>
        <v/>
      </c>
    </row>
    <row r="38" spans="2:13">
      <c r="B38" s="20" t="s"/>
      <c r="C38" s="20" t="s"/>
      <c r="J38" s="14" t="str">
        <f>=IF(ISBLANK(F38),"","("&amp;""""&amp;SUBSTITUTE(F38,"
",""""&amp;","&amp;"""")&amp;""""&amp;")")</f>
        <v/>
      </c>
      <c r="K38" s="14" t="str">
        <f>=IF(ISBLANK(G38),"","("&amp;""""&amp;SUBSTITUTE(G38,"
",""""&amp;","&amp;"""")&amp;""""&amp;")")</f>
        <v/>
      </c>
      <c r="L38" s="14" t="str">
        <f>=IF(ISBLANK(H38),"","("&amp;""""&amp;SUBSTITUTE(H38,"
",""""&amp;","&amp;"""")&amp;""""&amp;")")</f>
        <v/>
      </c>
      <c r="M38" s="14" t="str">
        <f>=IF(ISBLANK(I38),"","("&amp;""""&amp;SUBSTITUTE(I38,"
",""""&amp;","&amp;"""")&amp;""""&amp;")")</f>
        <v/>
      </c>
    </row>
    <row r="39" spans="2:13">
      <c r="B39" s="20" t="s"/>
      <c r="C39" s="20" t="s"/>
      <c r="J39" s="14" t="str">
        <f>=IF(ISBLANK(F39),"","("&amp;""""&amp;SUBSTITUTE(F39,"
",""""&amp;","&amp;"""")&amp;""""&amp;")")</f>
        <v/>
      </c>
      <c r="K39" s="14" t="str">
        <f>=IF(ISBLANK(G39),"","("&amp;""""&amp;SUBSTITUTE(G39,"
",""""&amp;","&amp;"""")&amp;""""&amp;")")</f>
        <v/>
      </c>
      <c r="L39" s="14" t="str">
        <f>=IF(ISBLANK(H39),"","("&amp;""""&amp;SUBSTITUTE(H39,"
",""""&amp;","&amp;"""")&amp;""""&amp;")")</f>
        <v/>
      </c>
      <c r="M39" s="14" t="str">
        <f>=IF(ISBLANK(I39),"","("&amp;""""&amp;SUBSTITUTE(I39,"
",""""&amp;","&amp;"""")&amp;""""&amp;")")</f>
        <v/>
      </c>
    </row>
    <row r="40" spans="2:13">
      <c r="B40" s="20" t="s"/>
      <c r="C40" s="20" t="s"/>
      <c r="J40" s="14" t="str">
        <f>=IF(ISBLANK(F40),"","("&amp;""""&amp;SUBSTITUTE(F40,"
",""""&amp;","&amp;"""")&amp;""""&amp;")")</f>
        <v/>
      </c>
      <c r="K40" s="14" t="str">
        <f>=IF(ISBLANK(G40),"","("&amp;""""&amp;SUBSTITUTE(G40,"
",""""&amp;","&amp;"""")&amp;""""&amp;")")</f>
        <v/>
      </c>
      <c r="L40" s="14" t="str">
        <f>=IF(ISBLANK(H40),"","("&amp;""""&amp;SUBSTITUTE(H40,"
",""""&amp;","&amp;"""")&amp;""""&amp;")")</f>
        <v/>
      </c>
      <c r="M40" s="14" t="str">
        <f>=IF(ISBLANK(I40),"","("&amp;""""&amp;SUBSTITUTE(I40,"
",""""&amp;","&amp;"""")&amp;""""&amp;")")</f>
        <v/>
      </c>
    </row>
    <row r="41" spans="2:13">
      <c r="B41" s="20" t="s"/>
      <c r="C41" s="20" t="s"/>
      <c r="J41" s="14" t="str">
        <f>=IF(ISBLANK(F41),"","("&amp;""""&amp;SUBSTITUTE(F41,"
",""""&amp;","&amp;"""")&amp;""""&amp;")")</f>
        <v/>
      </c>
      <c r="K41" s="14" t="str">
        <f>=IF(ISBLANK(G41),"","("&amp;""""&amp;SUBSTITUTE(G41,"
",""""&amp;","&amp;"""")&amp;""""&amp;")")</f>
        <v/>
      </c>
      <c r="L41" s="14" t="str">
        <f>=IF(ISBLANK(H41),"","("&amp;""""&amp;SUBSTITUTE(H41,"
",""""&amp;","&amp;"""")&amp;""""&amp;")")</f>
        <v/>
      </c>
      <c r="M41" s="14" t="str">
        <f>=IF(ISBLANK(I41),"","("&amp;""""&amp;SUBSTITUTE(I41,"
",""""&amp;","&amp;"""")&amp;""""&amp;")")</f>
        <v/>
      </c>
    </row>
    <row r="42" spans="2:13">
      <c r="B42" s="20" t="s"/>
      <c r="C42" s="20" t="s"/>
      <c r="J42" s="14" t="str">
        <f>=IF(ISBLANK(F42),"","("&amp;""""&amp;SUBSTITUTE(F42,"
",""""&amp;","&amp;"""")&amp;""""&amp;")")</f>
        <v/>
      </c>
      <c r="K42" s="14" t="str">
        <f>=IF(ISBLANK(G42),"","("&amp;""""&amp;SUBSTITUTE(G42,"
",""""&amp;","&amp;"""")&amp;""""&amp;")")</f>
        <v/>
      </c>
      <c r="L42" s="14" t="str">
        <f>=IF(ISBLANK(H42),"","("&amp;""""&amp;SUBSTITUTE(H42,"
",""""&amp;","&amp;"""")&amp;""""&amp;")")</f>
        <v/>
      </c>
      <c r="M42" s="14" t="str">
        <f>=IF(ISBLANK(I42),"","("&amp;""""&amp;SUBSTITUTE(I42,"
",""""&amp;","&amp;"""")&amp;""""&amp;")")</f>
        <v/>
      </c>
    </row>
    <row r="43" spans="2:13">
      <c r="B43" s="20" t="s"/>
      <c r="C43" s="20" t="s"/>
      <c r="J43" s="14" t="str">
        <f>=IF(ISBLANK(F43),"","("&amp;""""&amp;SUBSTITUTE(F43,"
",""""&amp;","&amp;"""")&amp;""""&amp;")")</f>
        <v/>
      </c>
      <c r="K43" s="14" t="str">
        <f>=IF(ISBLANK(G43),"","("&amp;""""&amp;SUBSTITUTE(G43,"
",""""&amp;","&amp;"""")&amp;""""&amp;")")</f>
        <v/>
      </c>
      <c r="L43" s="14" t="str">
        <f>=IF(ISBLANK(H43),"","("&amp;""""&amp;SUBSTITUTE(H43,"
",""""&amp;","&amp;"""")&amp;""""&amp;")")</f>
        <v/>
      </c>
      <c r="M43" s="14" t="str">
        <f>=IF(ISBLANK(I43),"","("&amp;""""&amp;SUBSTITUTE(I43,"
",""""&amp;","&amp;"""")&amp;""""&amp;")")</f>
        <v/>
      </c>
    </row>
    <row r="44" spans="2:13">
      <c r="B44" s="20" t="s"/>
      <c r="C44" s="20" t="s"/>
      <c r="J44" s="14" t="str">
        <f>=IF(ISBLANK(F44),"","("&amp;""""&amp;SUBSTITUTE(F44,"
",""""&amp;","&amp;"""")&amp;""""&amp;")")</f>
        <v/>
      </c>
      <c r="K44" s="14" t="str">
        <f>=IF(ISBLANK(G44),"","("&amp;""""&amp;SUBSTITUTE(G44,"
",""""&amp;","&amp;"""")&amp;""""&amp;")")</f>
        <v/>
      </c>
      <c r="L44" s="14" t="str">
        <f>=IF(ISBLANK(H44),"","("&amp;""""&amp;SUBSTITUTE(H44,"
",""""&amp;","&amp;"""")&amp;""""&amp;")")</f>
        <v/>
      </c>
      <c r="M44" s="14" t="str">
        <f>=IF(ISBLANK(I44),"","("&amp;""""&amp;SUBSTITUTE(I44,"
",""""&amp;","&amp;"""")&amp;""""&amp;")")</f>
        <v/>
      </c>
    </row>
    <row r="45" spans="2:13">
      <c r="B45" s="20" t="s"/>
      <c r="C45" s="20" t="s"/>
      <c r="J45" s="14" t="str">
        <f>=IF(ISBLANK(F45),"","("&amp;""""&amp;SUBSTITUTE(F45,"
",""""&amp;","&amp;"""")&amp;""""&amp;")")</f>
        <v/>
      </c>
      <c r="K45" s="14" t="str">
        <f>=IF(ISBLANK(G45),"","("&amp;""""&amp;SUBSTITUTE(G45,"
",""""&amp;","&amp;"""")&amp;""""&amp;")")</f>
        <v/>
      </c>
      <c r="L45" s="14" t="str">
        <f>=IF(ISBLANK(H45),"","("&amp;""""&amp;SUBSTITUTE(H45,"
",""""&amp;","&amp;"""")&amp;""""&amp;")")</f>
        <v/>
      </c>
      <c r="M45" s="14" t="str">
        <f>=IF(ISBLANK(I45),"","("&amp;""""&amp;SUBSTITUTE(I45,"
",""""&amp;","&amp;"""")&amp;""""&amp;")")</f>
        <v/>
      </c>
    </row>
    <row r="46" spans="2:13">
      <c r="B46" s="20" t="s"/>
      <c r="C46" s="20" t="s"/>
      <c r="J46" s="14" t="str">
        <f>=IF(ISBLANK(F46),"","("&amp;""""&amp;SUBSTITUTE(F46,"
",""""&amp;","&amp;"""")&amp;""""&amp;")")</f>
        <v/>
      </c>
      <c r="K46" s="14" t="str">
        <f>=IF(ISBLANK(G46),"","("&amp;""""&amp;SUBSTITUTE(G46,"
",""""&amp;","&amp;"""")&amp;""""&amp;")")</f>
        <v/>
      </c>
      <c r="L46" s="14" t="str">
        <f>=IF(ISBLANK(H46),"","("&amp;""""&amp;SUBSTITUTE(H46,"
",""""&amp;","&amp;"""")&amp;""""&amp;")")</f>
        <v/>
      </c>
      <c r="M46" s="14" t="str">
        <f>=IF(ISBLANK(I46),"","("&amp;""""&amp;SUBSTITUTE(I46,"
",""""&amp;","&amp;"""")&amp;""""&amp;")")</f>
        <v/>
      </c>
    </row>
    <row r="47" spans="2:13">
      <c r="B47" s="20" t="s"/>
      <c r="C47" s="20" t="s"/>
      <c r="J47" s="14" t="str">
        <f>=IF(ISBLANK(F47),"","("&amp;""""&amp;SUBSTITUTE(F47,"
",""""&amp;","&amp;"""")&amp;""""&amp;")")</f>
        <v/>
      </c>
      <c r="K47" s="14" t="str">
        <f>=IF(ISBLANK(G47),"","("&amp;""""&amp;SUBSTITUTE(G47,"
",""""&amp;","&amp;"""")&amp;""""&amp;")")</f>
        <v/>
      </c>
      <c r="L47" s="14" t="str">
        <f>=IF(ISBLANK(H47),"","("&amp;""""&amp;SUBSTITUTE(H47,"
",""""&amp;","&amp;"""")&amp;""""&amp;")")</f>
        <v/>
      </c>
      <c r="M47" s="14" t="str">
        <f>=IF(ISBLANK(I47),"","("&amp;""""&amp;SUBSTITUTE(I47,"
",""""&amp;","&amp;"""")&amp;""""&amp;")")</f>
        <v/>
      </c>
    </row>
    <row r="48" spans="2:13">
      <c r="B48" s="20" t="s"/>
      <c r="C48" s="20" t="s"/>
      <c r="J48" s="14" t="str">
        <f>=IF(ISBLANK(F48),"","("&amp;""""&amp;SUBSTITUTE(F48,"
",""""&amp;","&amp;"""")&amp;""""&amp;")")</f>
        <v/>
      </c>
      <c r="K48" s="14" t="str">
        <f>=IF(ISBLANK(G48),"","("&amp;""""&amp;SUBSTITUTE(G48,"
",""""&amp;","&amp;"""")&amp;""""&amp;")")</f>
        <v/>
      </c>
      <c r="L48" s="14" t="str">
        <f>=IF(ISBLANK(H48),"","("&amp;""""&amp;SUBSTITUTE(H48,"
",""""&amp;","&amp;"""")&amp;""""&amp;")")</f>
        <v/>
      </c>
      <c r="M48" s="14" t="str">
        <f>=IF(ISBLANK(I48),"","("&amp;""""&amp;SUBSTITUTE(I48,"
",""""&amp;","&amp;"""")&amp;""""&amp;")")</f>
        <v/>
      </c>
    </row>
    <row r="49" spans="2:13">
      <c r="B49" s="20" t="s"/>
      <c r="C49" s="20" t="s"/>
      <c r="J49" s="14" t="str">
        <f>=IF(ISBLANK(F49),"","("&amp;""""&amp;SUBSTITUTE(F49,"
",""""&amp;","&amp;"""")&amp;""""&amp;")")</f>
        <v/>
      </c>
      <c r="K49" s="14" t="str">
        <f>=IF(ISBLANK(G49),"","("&amp;""""&amp;SUBSTITUTE(G49,"
",""""&amp;","&amp;"""")&amp;""""&amp;")")</f>
        <v/>
      </c>
      <c r="L49" s="14" t="str">
        <f>=IF(ISBLANK(H49),"","("&amp;""""&amp;SUBSTITUTE(H49,"
",""""&amp;","&amp;"""")&amp;""""&amp;")")</f>
        <v/>
      </c>
      <c r="M49" s="14" t="str">
        <f>=IF(ISBLANK(I49),"","("&amp;""""&amp;SUBSTITUTE(I49,"
",""""&amp;","&amp;"""")&amp;""""&amp;")")</f>
        <v/>
      </c>
    </row>
    <row r="50" spans="2:13">
      <c r="B50" s="20" t="s"/>
      <c r="C50" s="20" t="s"/>
      <c r="J50" s="14" t="str">
        <f>=IF(ISBLANK(F50),"","("&amp;""""&amp;SUBSTITUTE(F50,"
",""""&amp;","&amp;"""")&amp;""""&amp;")")</f>
        <v/>
      </c>
      <c r="K50" s="14" t="str">
        <f>=IF(ISBLANK(G50),"","("&amp;""""&amp;SUBSTITUTE(G50,"
",""""&amp;","&amp;"""")&amp;""""&amp;")")</f>
        <v/>
      </c>
      <c r="L50" s="14" t="str">
        <f>=IF(ISBLANK(H50),"","("&amp;""""&amp;SUBSTITUTE(H50,"
",""""&amp;","&amp;"""")&amp;""""&amp;")")</f>
        <v/>
      </c>
      <c r="M50" s="14" t="str">
        <f>=IF(ISBLANK(I50),"","("&amp;""""&amp;SUBSTITUTE(I50,"
",""""&amp;","&amp;"""")&amp;""""&amp;")")</f>
        <v/>
      </c>
    </row>
    <row r="51" spans="2:13">
      <c r="B51" s="20" t="s"/>
      <c r="C51" s="20" t="s"/>
      <c r="J51" s="14" t="str">
        <f>=IF(ISBLANK(F51),"","("&amp;""""&amp;SUBSTITUTE(F51,"
",""""&amp;","&amp;"""")&amp;""""&amp;")")</f>
        <v/>
      </c>
      <c r="K51" s="14" t="str">
        <f>=IF(ISBLANK(G51),"","("&amp;""""&amp;SUBSTITUTE(G51,"
",""""&amp;","&amp;"""")&amp;""""&amp;")")</f>
        <v/>
      </c>
      <c r="L51" s="14" t="str">
        <f>=IF(ISBLANK(H51),"","("&amp;""""&amp;SUBSTITUTE(H51,"
",""""&amp;","&amp;"""")&amp;""""&amp;")")</f>
        <v/>
      </c>
      <c r="M51" s="14" t="str">
        <f>=IF(ISBLANK(I51),"","("&amp;""""&amp;SUBSTITUTE(I51,"
",""""&amp;","&amp;"""")&amp;""""&amp;")")</f>
        <v/>
      </c>
    </row>
    <row r="52" spans="2:13">
      <c r="B52" s="20" t="s"/>
      <c r="C52" s="20" t="s"/>
      <c r="J52" s="14" t="str">
        <f>=IF(ISBLANK(F52),"","("&amp;""""&amp;SUBSTITUTE(F52,"
",""""&amp;","&amp;"""")&amp;""""&amp;")")</f>
        <v/>
      </c>
      <c r="K52" s="14" t="str">
        <f>=IF(ISBLANK(G52),"","("&amp;""""&amp;SUBSTITUTE(G52,"
",""""&amp;","&amp;"""")&amp;""""&amp;")")</f>
        <v/>
      </c>
      <c r="L52" s="14" t="str">
        <f>=IF(ISBLANK(H52),"","("&amp;""""&amp;SUBSTITUTE(H52,"
",""""&amp;","&amp;"""")&amp;""""&amp;")")</f>
        <v/>
      </c>
      <c r="M52" s="14" t="str">
        <f>=IF(ISBLANK(I52),"","("&amp;""""&amp;SUBSTITUTE(I52,"
",""""&amp;","&amp;"""")&amp;""""&amp;")")</f>
        <v/>
      </c>
    </row>
    <row r="53" spans="2:13">
      <c r="B53" s="20" t="s"/>
      <c r="C53" s="20" t="s"/>
      <c r="J53" s="14" t="str">
        <f>=IF(ISBLANK(F53),"","("&amp;""""&amp;SUBSTITUTE(F53,"
",""""&amp;","&amp;"""")&amp;""""&amp;")")</f>
        <v/>
      </c>
      <c r="K53" s="14" t="str">
        <f>=IF(ISBLANK(G53),"","("&amp;""""&amp;SUBSTITUTE(G53,"
",""""&amp;","&amp;"""")&amp;""""&amp;")")</f>
        <v/>
      </c>
      <c r="L53" s="14" t="str">
        <f>=IF(ISBLANK(H53),"","("&amp;""""&amp;SUBSTITUTE(H53,"
",""""&amp;","&amp;"""")&amp;""""&amp;")")</f>
        <v/>
      </c>
      <c r="M53" s="14" t="str">
        <f>=IF(ISBLANK(I53),"","("&amp;""""&amp;SUBSTITUTE(I53,"
",""""&amp;","&amp;"""")&amp;""""&amp;")")</f>
        <v/>
      </c>
    </row>
    <row r="54" spans="2:13">
      <c r="B54" s="20" t="s"/>
      <c r="C54" s="20" t="s"/>
      <c r="J54" s="14" t="str">
        <f>=IF(ISBLANK(F54),"","("&amp;""""&amp;SUBSTITUTE(F54,"
",""""&amp;","&amp;"""")&amp;""""&amp;")")</f>
        <v/>
      </c>
      <c r="K54" s="14" t="str">
        <f>=IF(ISBLANK(G54),"","("&amp;""""&amp;SUBSTITUTE(G54,"
",""""&amp;","&amp;"""")&amp;""""&amp;")")</f>
        <v/>
      </c>
      <c r="L54" s="14" t="str">
        <f>=IF(ISBLANK(H54),"","("&amp;""""&amp;SUBSTITUTE(H54,"
",""""&amp;","&amp;"""")&amp;""""&amp;")")</f>
        <v/>
      </c>
      <c r="M54" s="14" t="str">
        <f>=IF(ISBLANK(I54),"","("&amp;""""&amp;SUBSTITUTE(I54,"
",""""&amp;","&amp;"""")&amp;""""&amp;")")</f>
        <v/>
      </c>
    </row>
    <row r="55" spans="2:13">
      <c r="B55" s="20" t="s"/>
      <c r="C55" s="20" t="s"/>
      <c r="J55" s="14" t="str">
        <f>=IF(ISBLANK(F55),"","("&amp;""""&amp;SUBSTITUTE(F55,"
",""""&amp;","&amp;"""")&amp;""""&amp;")")</f>
        <v/>
      </c>
      <c r="K55" s="14" t="str">
        <f>=IF(ISBLANK(G55),"","("&amp;""""&amp;SUBSTITUTE(G55,"
",""""&amp;","&amp;"""")&amp;""""&amp;")")</f>
        <v/>
      </c>
      <c r="L55" s="14" t="str">
        <f>=IF(ISBLANK(H55),"","("&amp;""""&amp;SUBSTITUTE(H55,"
",""""&amp;","&amp;"""")&amp;""""&amp;")")</f>
        <v/>
      </c>
      <c r="M55" s="14" t="str">
        <f>=IF(ISBLANK(I55),"","("&amp;""""&amp;SUBSTITUTE(I55,"
",""""&amp;","&amp;"""")&amp;""""&amp;")")</f>
        <v/>
      </c>
    </row>
    <row r="56" spans="2:13">
      <c r="B56" s="20" t="s"/>
      <c r="C56" s="20" t="s"/>
      <c r="J56" s="14" t="str">
        <f>=IF(ISBLANK(F56),"","("&amp;""""&amp;SUBSTITUTE(F56,"
",""""&amp;","&amp;"""")&amp;""""&amp;")")</f>
        <v/>
      </c>
      <c r="K56" s="14" t="str">
        <f>=IF(ISBLANK(G56),"","("&amp;""""&amp;SUBSTITUTE(G56,"
",""""&amp;","&amp;"""")&amp;""""&amp;")")</f>
        <v/>
      </c>
      <c r="L56" s="14" t="str">
        <f>=IF(ISBLANK(H56),"","("&amp;""""&amp;SUBSTITUTE(H56,"
",""""&amp;","&amp;"""")&amp;""""&amp;")")</f>
        <v/>
      </c>
      <c r="M56" s="14" t="str">
        <f>=IF(ISBLANK(I56),"","("&amp;""""&amp;SUBSTITUTE(I56,"
",""""&amp;","&amp;"""")&amp;""""&amp;")")</f>
        <v/>
      </c>
    </row>
    <row r="57" spans="2:13">
      <c r="B57" s="20" t="s"/>
      <c r="C57" s="20" t="s"/>
      <c r="J57" s="14" t="str">
        <f>=IF(ISBLANK(F57),"","("&amp;""""&amp;SUBSTITUTE(F57,"
",""""&amp;","&amp;"""")&amp;""""&amp;")")</f>
        <v/>
      </c>
      <c r="K57" s="14" t="str">
        <f>=IF(ISBLANK(G57),"","("&amp;""""&amp;SUBSTITUTE(G57,"
",""""&amp;","&amp;"""")&amp;""""&amp;")")</f>
        <v/>
      </c>
      <c r="L57" s="14" t="str">
        <f>=IF(ISBLANK(H57),"","("&amp;""""&amp;SUBSTITUTE(H57,"
",""""&amp;","&amp;"""")&amp;""""&amp;")")</f>
        <v/>
      </c>
      <c r="M57" s="14" t="str">
        <f>=IF(ISBLANK(I57),"","("&amp;""""&amp;SUBSTITUTE(I57,"
",""""&amp;","&amp;"""")&amp;""""&amp;")")</f>
        <v/>
      </c>
    </row>
    <row r="58" spans="2:13">
      <c r="B58" s="20" t="s"/>
      <c r="C58" s="20" t="s"/>
      <c r="J58" s="14" t="str">
        <f>=IF(ISBLANK(F58),"","("&amp;""""&amp;SUBSTITUTE(F58,"
",""""&amp;","&amp;"""")&amp;""""&amp;")")</f>
        <v/>
      </c>
      <c r="K58" s="14" t="str">
        <f>=IF(ISBLANK(G58),"","("&amp;""""&amp;SUBSTITUTE(G58,"
",""""&amp;","&amp;"""")&amp;""""&amp;")")</f>
        <v/>
      </c>
      <c r="L58" s="14" t="str">
        <f>=IF(ISBLANK(H58),"","("&amp;""""&amp;SUBSTITUTE(H58,"
",""""&amp;","&amp;"""")&amp;""""&amp;")")</f>
        <v/>
      </c>
      <c r="M58" s="14" t="str">
        <f>=IF(ISBLANK(I58),"","("&amp;""""&amp;SUBSTITUTE(I58,"
",""""&amp;","&amp;"""")&amp;""""&amp;")")</f>
        <v/>
      </c>
    </row>
    <row r="59" spans="2:13">
      <c r="B59" s="20" t="s"/>
      <c r="C59" s="20" t="s"/>
      <c r="J59" s="14" t="str">
        <f>=IF(ISBLANK(F59),"","("&amp;""""&amp;SUBSTITUTE(F59,"
",""""&amp;","&amp;"""")&amp;""""&amp;")")</f>
        <v/>
      </c>
      <c r="K59" s="14" t="str">
        <f>=IF(ISBLANK(G59),"","("&amp;""""&amp;SUBSTITUTE(G59,"
",""""&amp;","&amp;"""")&amp;""""&amp;")")</f>
        <v/>
      </c>
      <c r="L59" s="14" t="str">
        <f>=IF(ISBLANK(H59),"","("&amp;""""&amp;SUBSTITUTE(H59,"
",""""&amp;","&amp;"""")&amp;""""&amp;")")</f>
        <v/>
      </c>
      <c r="M59" s="14" t="str">
        <f>=IF(ISBLANK(I59),"","("&amp;""""&amp;SUBSTITUTE(I59,"
",""""&amp;","&amp;"""")&amp;""""&amp;")")</f>
        <v/>
      </c>
    </row>
    <row r="60" spans="2:13">
      <c r="B60" s="20" t="s"/>
      <c r="C60" s="20" t="s"/>
      <c r="J60" s="14" t="str">
        <f>=IF(ISBLANK(F60),"","("&amp;""""&amp;SUBSTITUTE(F60,"
",""""&amp;","&amp;"""")&amp;""""&amp;")")</f>
        <v/>
      </c>
      <c r="K60" s="14" t="str">
        <f>=IF(ISBLANK(G60),"","("&amp;""""&amp;SUBSTITUTE(G60,"
",""""&amp;","&amp;"""")&amp;""""&amp;")")</f>
        <v/>
      </c>
      <c r="L60" s="14" t="str">
        <f>=IF(ISBLANK(H60),"","("&amp;""""&amp;SUBSTITUTE(H60,"
",""""&amp;","&amp;"""")&amp;""""&amp;")")</f>
        <v/>
      </c>
      <c r="M60" s="14" t="str">
        <f>=IF(ISBLANK(I60),"","("&amp;""""&amp;SUBSTITUTE(I60,"
",""""&amp;","&amp;"""")&amp;""""&amp;")")</f>
        <v/>
      </c>
    </row>
    <row r="61" spans="2:13">
      <c r="B61" s="20" t="s"/>
      <c r="C61" s="20" t="s"/>
      <c r="J61" s="14" t="str">
        <f>=IF(ISBLANK(F61),"","("&amp;""""&amp;SUBSTITUTE(F61,"
",""""&amp;","&amp;"""")&amp;""""&amp;")")</f>
        <v/>
      </c>
      <c r="K61" s="14" t="str">
        <f>=IF(ISBLANK(G61),"","("&amp;""""&amp;SUBSTITUTE(G61,"
",""""&amp;","&amp;"""")&amp;""""&amp;")")</f>
        <v/>
      </c>
      <c r="L61" s="14" t="str">
        <f>=IF(ISBLANK(H61),"","("&amp;""""&amp;SUBSTITUTE(H61,"
",""""&amp;","&amp;"""")&amp;""""&amp;")")</f>
        <v/>
      </c>
      <c r="M61" s="14" t="str">
        <f>=IF(ISBLANK(I61),"","("&amp;""""&amp;SUBSTITUTE(I61,"
",""""&amp;","&amp;"""")&amp;""""&amp;")")</f>
        <v/>
      </c>
    </row>
    <row r="62" spans="2:13">
      <c r="B62" s="20" t="s"/>
      <c r="C62" s="20" t="s"/>
      <c r="J62" s="14" t="str">
        <f>=IF(ISBLANK(F62),"","("&amp;""""&amp;SUBSTITUTE(F62,"
",""""&amp;","&amp;"""")&amp;""""&amp;")")</f>
        <v/>
      </c>
      <c r="K62" s="14" t="str">
        <f>=IF(ISBLANK(G62),"","("&amp;""""&amp;SUBSTITUTE(G62,"
",""""&amp;","&amp;"""")&amp;""""&amp;")")</f>
        <v/>
      </c>
      <c r="L62" s="14" t="str">
        <f>=IF(ISBLANK(H62),"","("&amp;""""&amp;SUBSTITUTE(H62,"
",""""&amp;","&amp;"""")&amp;""""&amp;")")</f>
        <v/>
      </c>
      <c r="M62" s="14" t="str">
        <f>=IF(ISBLANK(I62),"","("&amp;""""&amp;SUBSTITUTE(I62,"
",""""&amp;","&amp;"""")&amp;""""&amp;")")</f>
        <v/>
      </c>
    </row>
    <row r="63" spans="2:13">
      <c r="B63" s="20" t="s"/>
      <c r="C63" s="20" t="s"/>
      <c r="J63" s="14" t="str">
        <f>=IF(ISBLANK(F63),"","("&amp;""""&amp;SUBSTITUTE(F63,"
",""""&amp;","&amp;"""")&amp;""""&amp;")")</f>
        <v/>
      </c>
      <c r="K63" s="14" t="str">
        <f>=IF(ISBLANK(G63),"","("&amp;""""&amp;SUBSTITUTE(G63,"
",""""&amp;","&amp;"""")&amp;""""&amp;")")</f>
        <v/>
      </c>
      <c r="L63" s="14" t="str">
        <f>=IF(ISBLANK(H63),"","("&amp;""""&amp;SUBSTITUTE(H63,"
",""""&amp;","&amp;"""")&amp;""""&amp;")")</f>
        <v/>
      </c>
      <c r="M63" s="14" t="str">
        <f>=IF(ISBLANK(I63),"","("&amp;""""&amp;SUBSTITUTE(I63,"
",""""&amp;","&amp;"""")&amp;""""&amp;")")</f>
        <v/>
      </c>
    </row>
    <row r="64" spans="2:13">
      <c r="B64" s="20" t="s"/>
      <c r="C64" s="20" t="s"/>
      <c r="J64" s="14" t="str">
        <f>=IF(ISBLANK(F64),"","("&amp;""""&amp;SUBSTITUTE(F64,"
",""""&amp;","&amp;"""")&amp;""""&amp;")")</f>
        <v/>
      </c>
      <c r="K64" s="14" t="str">
        <f>=IF(ISBLANK(G64),"","("&amp;""""&amp;SUBSTITUTE(G64,"
",""""&amp;","&amp;"""")&amp;""""&amp;")")</f>
        <v/>
      </c>
      <c r="L64" s="14" t="str">
        <f>=IF(ISBLANK(H64),"","("&amp;""""&amp;SUBSTITUTE(H64,"
",""""&amp;","&amp;"""")&amp;""""&amp;")")</f>
        <v/>
      </c>
      <c r="M64" s="14" t="str">
        <f>=IF(ISBLANK(I64),"","("&amp;""""&amp;SUBSTITUTE(I64,"
",""""&amp;","&amp;"""")&amp;""""&amp;")")</f>
        <v/>
      </c>
    </row>
    <row r="65" spans="2:13">
      <c r="B65" s="20" t="s"/>
      <c r="C65" s="20" t="s"/>
      <c r="J65" s="14" t="str">
        <f>=IF(ISBLANK(F65),"","("&amp;""""&amp;SUBSTITUTE(F65,"
",""""&amp;","&amp;"""")&amp;""""&amp;")")</f>
        <v/>
      </c>
      <c r="K65" s="14" t="str">
        <f>=IF(ISBLANK(G65),"","("&amp;""""&amp;SUBSTITUTE(G65,"
",""""&amp;","&amp;"""")&amp;""""&amp;")")</f>
        <v/>
      </c>
      <c r="L65" s="14" t="str">
        <f>=IF(ISBLANK(H65),"","("&amp;""""&amp;SUBSTITUTE(H65,"
",""""&amp;","&amp;"""")&amp;""""&amp;")")</f>
        <v/>
      </c>
      <c r="M65" s="14" t="str">
        <f>=IF(ISBLANK(I65),"","("&amp;""""&amp;SUBSTITUTE(I65,"
",""""&amp;","&amp;"""")&amp;""""&amp;")")</f>
        <v/>
      </c>
    </row>
    <row r="66" spans="2:13">
      <c r="B66" s="20" t="s"/>
      <c r="C66" s="20" t="s"/>
      <c r="J66" s="14" t="str">
        <f>=IF(ISBLANK(F66),"","("&amp;""""&amp;SUBSTITUTE(F66,"
",""""&amp;","&amp;"""")&amp;""""&amp;")")</f>
        <v/>
      </c>
      <c r="K66" s="14" t="str">
        <f>=IF(ISBLANK(G66),"","("&amp;""""&amp;SUBSTITUTE(G66,"
",""""&amp;","&amp;"""")&amp;""""&amp;")")</f>
        <v/>
      </c>
      <c r="L66" s="14" t="str">
        <f>=IF(ISBLANK(H66),"","("&amp;""""&amp;SUBSTITUTE(H66,"
",""""&amp;","&amp;"""")&amp;""""&amp;")")</f>
        <v/>
      </c>
      <c r="M66" s="14" t="str">
        <f>=IF(ISBLANK(I66),"","("&amp;""""&amp;SUBSTITUTE(I66,"
",""""&amp;","&amp;"""")&amp;""""&amp;")")</f>
        <v/>
      </c>
    </row>
    <row r="67" spans="2:13">
      <c r="B67" s="20" t="s"/>
      <c r="C67" s="20" t="s"/>
      <c r="J67" s="14" t="str">
        <f>=IF(ISBLANK(F67),"","("&amp;""""&amp;SUBSTITUTE(F67,"
",""""&amp;","&amp;"""")&amp;""""&amp;")")</f>
        <v/>
      </c>
      <c r="K67" s="14" t="str">
        <f>=IF(ISBLANK(G67),"","("&amp;""""&amp;SUBSTITUTE(G67,"
",""""&amp;","&amp;"""")&amp;""""&amp;")")</f>
        <v/>
      </c>
      <c r="L67" s="14" t="str">
        <f>=IF(ISBLANK(H67),"","("&amp;""""&amp;SUBSTITUTE(H67,"
",""""&amp;","&amp;"""")&amp;""""&amp;")")</f>
        <v/>
      </c>
      <c r="M67" s="14" t="str">
        <f>=IF(ISBLANK(I67),"","("&amp;""""&amp;SUBSTITUTE(I67,"
",""""&amp;","&amp;"""")&amp;""""&amp;")")</f>
        <v/>
      </c>
    </row>
    <row r="68" spans="2:13">
      <c r="B68" s="20" t="s"/>
      <c r="C68" s="20" t="s"/>
      <c r="J68" s="14" t="str">
        <f>=IF(ISBLANK(F68),"","("&amp;""""&amp;SUBSTITUTE(F68,"
",""""&amp;","&amp;"""")&amp;""""&amp;")")</f>
        <v/>
      </c>
      <c r="K68" s="14" t="str">
        <f>=IF(ISBLANK(G68),"","("&amp;""""&amp;SUBSTITUTE(G68,"
",""""&amp;","&amp;"""")&amp;""""&amp;")")</f>
        <v/>
      </c>
      <c r="L68" s="14" t="str">
        <f>=IF(ISBLANK(H68),"","("&amp;""""&amp;SUBSTITUTE(H68,"
",""""&amp;","&amp;"""")&amp;""""&amp;")")</f>
        <v/>
      </c>
      <c r="M68" s="14" t="str">
        <f>=IF(ISBLANK(I68),"","("&amp;""""&amp;SUBSTITUTE(I68,"
",""""&amp;","&amp;"""")&amp;""""&amp;")")</f>
        <v/>
      </c>
    </row>
    <row r="69" spans="2:13">
      <c r="B69" s="20" t="s"/>
      <c r="C69" s="20" t="s"/>
      <c r="J69" s="14" t="str">
        <f>=IF(ISBLANK(F69),"","("&amp;""""&amp;SUBSTITUTE(F69,"
",""""&amp;","&amp;"""")&amp;""""&amp;")")</f>
        <v/>
      </c>
      <c r="K69" s="14" t="str">
        <f>=IF(ISBLANK(G69),"","("&amp;""""&amp;SUBSTITUTE(G69,"
",""""&amp;","&amp;"""")&amp;""""&amp;")")</f>
        <v/>
      </c>
      <c r="L69" s="14" t="str">
        <f>=IF(ISBLANK(H69),"","("&amp;""""&amp;SUBSTITUTE(H69,"
",""""&amp;","&amp;"""")&amp;""""&amp;")")</f>
        <v/>
      </c>
      <c r="M69" s="14" t="str">
        <f>=IF(ISBLANK(I69),"","("&amp;""""&amp;SUBSTITUTE(I69,"
",""""&amp;","&amp;"""")&amp;""""&amp;")")</f>
        <v/>
      </c>
    </row>
    <row r="70" spans="2:13">
      <c r="B70" s="20" t="s"/>
      <c r="C70" s="20" t="s"/>
      <c r="J70" s="14" t="str">
        <f>=IF(ISBLANK(F70),"","("&amp;""""&amp;SUBSTITUTE(F70,"
",""""&amp;","&amp;"""")&amp;""""&amp;")")</f>
        <v/>
      </c>
      <c r="K70" s="14" t="str">
        <f>=IF(ISBLANK(G70),"","("&amp;""""&amp;SUBSTITUTE(G70,"
",""""&amp;","&amp;"""")&amp;""""&amp;")")</f>
        <v/>
      </c>
      <c r="L70" s="14" t="str">
        <f>=IF(ISBLANK(H70),"","("&amp;""""&amp;SUBSTITUTE(H70,"
",""""&amp;","&amp;"""")&amp;""""&amp;")")</f>
        <v/>
      </c>
      <c r="M70" s="14" t="str">
        <f>=IF(ISBLANK(I70),"","("&amp;""""&amp;SUBSTITUTE(I70,"
",""""&amp;","&amp;"""")&amp;""""&amp;")")</f>
        <v/>
      </c>
    </row>
    <row r="71" spans="2:13">
      <c r="B71" s="20" t="s"/>
      <c r="C71" s="20" t="s"/>
      <c r="K71" s="14" t="str">
        <f>=IF(ISBLANK(G71),"","("&amp;""""&amp;SUBSTITUTE(G71,"
",""""&amp;","&amp;"""")&amp;""""&amp;")")</f>
        <v/>
      </c>
      <c r="L71" s="14" t="str">
        <f>=IF(ISBLANK(H71),"","("&amp;""""&amp;SUBSTITUTE(H71,"
",""""&amp;","&amp;"""")&amp;""""&amp;")")</f>
        <v/>
      </c>
      <c r="M71" s="14" t="str">
        <f>=IF(ISBLANK(I71),"","("&amp;""""&amp;SUBSTITUTE(I71,"
",""""&amp;","&amp;"""")&amp;""""&amp;")")</f>
        <v/>
      </c>
    </row>
    <row r="72" spans="2:13">
      <c r="B72" s="20" t="s"/>
      <c r="C72" s="20" t="s"/>
      <c r="K72" s="14" t="str">
        <f>=IF(ISBLANK(G72),"","("&amp;""""&amp;SUBSTITUTE(G72,"
",""""&amp;","&amp;"""")&amp;""""&amp;")")</f>
        <v/>
      </c>
      <c r="L72" s="14" t="str">
        <f>=IF(ISBLANK(H72),"","("&amp;""""&amp;SUBSTITUTE(H72,"
",""""&amp;","&amp;"""")&amp;""""&amp;")")</f>
        <v/>
      </c>
      <c r="M72" s="14" t="str">
        <f>=IF(ISBLANK(I72),"","("&amp;""""&amp;SUBSTITUTE(I72,"
",""""&amp;","&amp;"""")&amp;""""&amp;")")</f>
        <v/>
      </c>
    </row>
    <row r="73" spans="2:13">
      <c r="B73" s="20" t="s"/>
      <c r="C73" s="20" t="s"/>
      <c r="K73" s="14" t="str">
        <f>=IF(ISBLANK(G73),"","("&amp;""""&amp;SUBSTITUTE(G73,"
",""""&amp;","&amp;"""")&amp;""""&amp;")")</f>
        <v/>
      </c>
      <c r="L73" s="14" t="str">
        <f>=IF(ISBLANK(H73),"","("&amp;""""&amp;SUBSTITUTE(H73,"
",""""&amp;","&amp;"""")&amp;""""&amp;")")</f>
        <v/>
      </c>
      <c r="M73" s="14" t="str">
        <f>=IF(ISBLANK(I73),"","("&amp;""""&amp;SUBSTITUTE(I73,"
",""""&amp;","&amp;"""")&amp;""""&amp;")")</f>
        <v/>
      </c>
    </row>
    <row r="74" spans="2:13">
      <c r="B74" s="20" t="s"/>
      <c r="C74" s="20" t="s"/>
      <c r="K74" s="14" t="str">
        <f>=IF(ISBLANK(G74),"","("&amp;""""&amp;SUBSTITUTE(G74,"
",""""&amp;","&amp;"""")&amp;""""&amp;")")</f>
        <v/>
      </c>
      <c r="L74" s="14" t="str">
        <f>=IF(ISBLANK(H74),"","("&amp;""""&amp;SUBSTITUTE(H74,"
",""""&amp;","&amp;"""")&amp;""""&amp;")")</f>
        <v/>
      </c>
      <c r="M74" s="14" t="str">
        <f>=IF(ISBLANK(I74),"","("&amp;""""&amp;SUBSTITUTE(I74,"
",""""&amp;","&amp;"""")&amp;""""&amp;")")</f>
        <v/>
      </c>
    </row>
    <row r="75" spans="2:13">
      <c r="B75" s="20" t="s"/>
      <c r="C75" s="20" t="s"/>
      <c r="K75" s="14" t="str">
        <f>=IF(ISBLANK(G75),"","("&amp;""""&amp;SUBSTITUTE(G75,"
",""""&amp;","&amp;"""")&amp;""""&amp;")")</f>
        <v/>
      </c>
      <c r="L75" s="14" t="str">
        <f>=IF(ISBLANK(H75),"","("&amp;""""&amp;SUBSTITUTE(H75,"
",""""&amp;","&amp;"""")&amp;""""&amp;")")</f>
        <v/>
      </c>
      <c r="M75" s="14" t="str">
        <f>=IF(ISBLANK(I75),"","("&amp;""""&amp;SUBSTITUTE(I75,"
",""""&amp;","&amp;"""")&amp;""""&amp;")")</f>
        <v/>
      </c>
    </row>
    <row r="76" spans="2:13">
      <c r="B76" s="20" t="s"/>
      <c r="C76" s="20" t="s"/>
      <c r="K76" s="14" t="str">
        <f>=IF(ISBLANK(G76),"","("&amp;""""&amp;SUBSTITUTE(G76,"
",""""&amp;","&amp;"""")&amp;""""&amp;")")</f>
        <v/>
      </c>
      <c r="L76" s="14" t="str">
        <f>=IF(ISBLANK(H76),"","("&amp;""""&amp;SUBSTITUTE(H76,"
",""""&amp;","&amp;"""")&amp;""""&amp;")")</f>
        <v/>
      </c>
      <c r="M76" s="14" t="str">
        <f>=IF(ISBLANK(I76),"","("&amp;""""&amp;SUBSTITUTE(I76,"
",""""&amp;","&amp;"""")&amp;""""&amp;")")</f>
        <v/>
      </c>
    </row>
    <row r="77" spans="2:13">
      <c r="B77" s="20" t="s"/>
      <c r="C77" s="20" t="s"/>
      <c r="K77" s="14" t="str">
        <f>=IF(ISBLANK(G77),"","("&amp;""""&amp;SUBSTITUTE(G77,"
",""""&amp;","&amp;"""")&amp;""""&amp;")")</f>
        <v/>
      </c>
      <c r="L77" s="14" t="str">
        <f>=IF(ISBLANK(H77),"","("&amp;""""&amp;SUBSTITUTE(H77,"
",""""&amp;","&amp;"""")&amp;""""&amp;")")</f>
        <v/>
      </c>
      <c r="M77" s="14" t="str">
        <f>=IF(ISBLANK(I77),"","("&amp;""""&amp;SUBSTITUTE(I77,"
",""""&amp;","&amp;"""")&amp;""""&amp;")")</f>
        <v/>
      </c>
    </row>
    <row r="78" spans="2:13">
      <c r="B78" s="20" t="s"/>
      <c r="C78" s="20" t="s"/>
      <c r="K78" s="14" t="str">
        <f>=IF(ISBLANK(G78),"","("&amp;""""&amp;SUBSTITUTE(G78,"
",""""&amp;","&amp;"""")&amp;""""&amp;")")</f>
        <v/>
      </c>
      <c r="L78" s="14" t="str">
        <f>=IF(ISBLANK(H78),"","("&amp;""""&amp;SUBSTITUTE(H78,"
",""""&amp;","&amp;"""")&amp;""""&amp;")")</f>
        <v/>
      </c>
      <c r="M78" s="14" t="str">
        <f>=IF(ISBLANK(I78),"","("&amp;""""&amp;SUBSTITUTE(I78,"
",""""&amp;","&amp;"""")&amp;""""&amp;")")</f>
        <v/>
      </c>
    </row>
    <row r="79" spans="2:12">
      <c r="B79" s="20" t="s"/>
      <c r="C79" s="20" t="s"/>
      <c r="K79" s="14" t="str">
        <f>=IF(ISBLANK(G79),"","("&amp;""""&amp;SUBSTITUTE(G79,"
",""""&amp;","&amp;"""")&amp;""""&amp;")")</f>
        <v/>
      </c>
      <c r="L79" s="14" t="str">
        <f>=IF(ISBLANK(H79),"","("&amp;""""&amp;SUBSTITUTE(H79,"
",""""&amp;","&amp;"""")&amp;""""&amp;")")</f>
        <v/>
      </c>
    </row>
    <row r="80" spans="2:12">
      <c r="B80" s="20" t="s"/>
      <c r="C80" s="20" t="s"/>
      <c r="K80" s="14" t="str">
        <f>=IF(ISBLANK(G80),"","("&amp;""""&amp;SUBSTITUTE(G80,"
",""""&amp;","&amp;"""")&amp;""""&amp;")")</f>
        <v/>
      </c>
      <c r="L80" s="14" t="str">
        <f>=IF(ISBLANK(H80),"","("&amp;""""&amp;SUBSTITUTE(H80,"
",""""&amp;","&amp;"""")&amp;""""&amp;")")</f>
        <v/>
      </c>
    </row>
    <row r="81" spans="2:12">
      <c r="B81" s="20" t="s"/>
      <c r="C81" s="20" t="s"/>
      <c r="K81" s="14" t="str">
        <f>=IF(ISBLANK(G81),"","("&amp;""""&amp;SUBSTITUTE(G81,"
",""""&amp;","&amp;"""")&amp;""""&amp;")")</f>
        <v/>
      </c>
      <c r="L81" s="14" t="str">
        <f>=IF(ISBLANK(H81),"","("&amp;""""&amp;SUBSTITUTE(H81,"
",""""&amp;","&amp;"""")&amp;""""&amp;")")</f>
        <v/>
      </c>
    </row>
    <row r="82" spans="2:12">
      <c r="B82" s="20" t="s"/>
      <c r="C82" s="20" t="s"/>
      <c r="K82" s="14" t="str">
        <f>=IF(ISBLANK(G82),"","("&amp;""""&amp;SUBSTITUTE(G82,"
",""""&amp;","&amp;"""")&amp;""""&amp;")")</f>
        <v/>
      </c>
      <c r="L82" s="14" t="str">
        <f>=IF(ISBLANK(H82),"","("&amp;""""&amp;SUBSTITUTE(H82,"
",""""&amp;","&amp;"""")&amp;""""&amp;")")</f>
        <v/>
      </c>
    </row>
    <row r="83" spans="2:12">
      <c r="B83" s="20" t="s"/>
      <c r="C83" s="20" t="s"/>
      <c r="K83" s="14" t="str">
        <f>=IF(ISBLANK(G83),"","("&amp;""""&amp;SUBSTITUTE(G83,"
",""""&amp;","&amp;"""")&amp;""""&amp;")")</f>
        <v/>
      </c>
      <c r="L83" s="14" t="str">
        <f>=IF(ISBLANK(H83),"","("&amp;""""&amp;SUBSTITUTE(H83,"
",""""&amp;","&amp;"""")&amp;""""&amp;")")</f>
        <v/>
      </c>
    </row>
    <row r="84" spans="2:12">
      <c r="B84" s="20" t="s"/>
      <c r="C84" s="20" t="s"/>
      <c r="K84" s="14" t="str">
        <f>=IF(ISBLANK(G84),"","("&amp;""""&amp;SUBSTITUTE(G84,"
",""""&amp;","&amp;"""")&amp;""""&amp;")")</f>
        <v/>
      </c>
      <c r="L84" s="14" t="str">
        <f>=IF(ISBLANK(H84),"","("&amp;""""&amp;SUBSTITUTE(H84,"
",""""&amp;","&amp;"""")&amp;""""&amp;")")</f>
        <v/>
      </c>
    </row>
    <row r="85" spans="2:12">
      <c r="B85" s="20" t="s"/>
      <c r="C85" s="20" t="s"/>
      <c r="K85" s="14" t="str">
        <f>=IF(ISBLANK(G85),"","("&amp;""""&amp;SUBSTITUTE(G85,"
",""""&amp;","&amp;"""")&amp;""""&amp;")")</f>
        <v/>
      </c>
      <c r="L85" s="14" t="str">
        <f>=IF(ISBLANK(H85),"","("&amp;""""&amp;SUBSTITUTE(H85,"
",""""&amp;","&amp;"""")&amp;""""&amp;")")</f>
        <v/>
      </c>
    </row>
    <row r="86" spans="2:12">
      <c r="B86" s="20" t="s"/>
      <c r="C86" s="20" t="s"/>
      <c r="K86" s="14" t="str">
        <f>=IF(ISBLANK(G86),"","("&amp;""""&amp;SUBSTITUTE(G86,"
",""""&amp;","&amp;"""")&amp;""""&amp;")")</f>
        <v/>
      </c>
      <c r="L86" s="14" t="str">
        <f>=IF(ISBLANK(H86),"","("&amp;""""&amp;SUBSTITUTE(H86,"
",""""&amp;","&amp;"""")&amp;""""&amp;")")</f>
        <v/>
      </c>
    </row>
    <row r="87" spans="2:11">
      <c r="B87" s="20" t="s"/>
      <c r="C87" s="20" t="s"/>
      <c r="K87" s="14" t="str">
        <f>=IF(ISBLANK(G87),"","("&amp;""""&amp;SUBSTITUTE(G87,"
",""""&amp;","&amp;"""")&amp;""""&amp;")")</f>
        <v/>
      </c>
    </row>
    <row r="88" spans="2:11">
      <c r="B88" s="20" t="s"/>
      <c r="C88" s="20" t="s"/>
      <c r="K88" s="14" t="str">
        <f>=IF(ISBLANK(G88),"","("&amp;""""&amp;SUBSTITUTE(G88,"
",""""&amp;","&amp;"""")&amp;""""&amp;")")</f>
        <v/>
      </c>
    </row>
    <row r="89" spans="2:11">
      <c r="B89" s="20" t="s"/>
      <c r="C89" s="20" t="s"/>
      <c r="K89" s="14" t="str">
        <f>=IF(ISBLANK(G89),"","("&amp;""""&amp;SUBSTITUTE(G89,"
",""""&amp;","&amp;"""")&amp;""""&amp;")")</f>
        <v/>
      </c>
    </row>
    <row r="90" spans="2:11">
      <c r="B90" s="20" t="s"/>
      <c r="C90" s="20" t="s"/>
      <c r="K90" s="14" t="str">
        <f>=IF(ISBLANK(G90),"","("&amp;""""&amp;SUBSTITUTE(G90,"
",""""&amp;","&amp;"""")&amp;""""&amp;")")</f>
        <v/>
      </c>
    </row>
    <row r="91" spans="2:11">
      <c r="B91" s="20" t="s"/>
      <c r="C91" s="20" t="s"/>
      <c r="K91" s="14" t="str">
        <f>=IF(ISBLANK(G91),"","("&amp;""""&amp;SUBSTITUTE(G91,"
",""""&amp;","&amp;"""")&amp;""""&amp;")")</f>
        <v/>
      </c>
    </row>
    <row r="92" spans="2:11">
      <c r="B92" s="20" t="s"/>
      <c r="C92" s="20" t="s"/>
      <c r="K92" s="14" t="str">
        <f>=IF(ISBLANK(G92),"","("&amp;""""&amp;SUBSTITUTE(G92,"
",""""&amp;","&amp;"""")&amp;""""&amp;")")</f>
        <v/>
      </c>
    </row>
    <row r="93" spans="2:11">
      <c r="B93" s="20" t="s"/>
      <c r="C93" s="20" t="s"/>
      <c r="K93" s="14" t="str">
        <f>=IF(ISBLANK(G93),"","("&amp;""""&amp;SUBSTITUTE(G93,"
",""""&amp;","&amp;"""")&amp;""""&amp;")")</f>
        <v/>
      </c>
    </row>
    <row r="94" spans="2:11">
      <c r="B94" s="20" t="s"/>
      <c r="C94" s="20" t="s"/>
      <c r="K94" s="14" t="str">
        <f>=IF(ISBLANK(G94),"","("&amp;""""&amp;SUBSTITUTE(G94,"
",""""&amp;","&amp;"""")&amp;""""&amp;")")</f>
        <v/>
      </c>
    </row>
    <row r="95" spans="2:11">
      <c r="B95" s="20" t="s"/>
      <c r="C95" s="20" t="s"/>
      <c r="K95" s="14" t="str">
        <f>=IF(ISBLANK(G95),"","("&amp;""""&amp;SUBSTITUTE(G95,"
",""""&amp;","&amp;"""")&amp;""""&amp;")")</f>
        <v/>
      </c>
    </row>
    <row r="96" spans="2:11">
      <c r="B96" s="20" t="s"/>
      <c r="C96" s="20" t="s"/>
      <c r="K96" s="14" t="str">
        <f>=IF(ISBLANK(G96),"","("&amp;""""&amp;SUBSTITUTE(G96,"
",""""&amp;","&amp;"""")&amp;""""&amp;")")</f>
        <v/>
      </c>
    </row>
    <row r="97" spans="2:11">
      <c r="B97" s="20" t="s"/>
      <c r="C97" s="20" t="s"/>
      <c r="K97" s="14" t="str">
        <f>=IF(ISBLANK(G97),"","("&amp;""""&amp;SUBSTITUTE(G97,"
",""""&amp;","&amp;"""")&amp;""""&amp;")")</f>
        <v/>
      </c>
    </row>
    <row r="98" spans="2:11">
      <c r="B98" s="20" t="s"/>
      <c r="C98" s="20" t="s"/>
      <c r="K98" s="14" t="str">
        <f>=IF(ISBLANK(G98),"","("&amp;""""&amp;SUBSTITUTE(G98,"
",""""&amp;","&amp;"""")&amp;""""&amp;")")</f>
        <v/>
      </c>
    </row>
    <row r="99" spans="2:11">
      <c r="B99" s="20" t="s"/>
      <c r="C99" s="20" t="s"/>
      <c r="K99" s="14" t="str">
        <f>=IF(ISBLANK(G99),"","("&amp;""""&amp;SUBSTITUTE(G99,"
",""""&amp;","&amp;"""")&amp;""""&amp;")")</f>
        <v/>
      </c>
    </row>
    <row r="100" spans="2:11">
      <c r="B100" s="20" t="s"/>
      <c r="C100" s="20" t="s"/>
      <c r="K100" s="14" t="str">
        <f>=IF(ISBLANK(G100),"","("&amp;""""&amp;SUBSTITUTE(G100,"
",""""&amp;","&amp;"""")&amp;""""&amp;")")</f>
        <v/>
      </c>
    </row>
    <row r="101" spans="2:11">
      <c r="B101" s="20" t="s"/>
      <c r="C101" s="20" t="s"/>
      <c r="K101" s="14" t="str">
        <f>=IF(ISBLANK(G101),"","("&amp;""""&amp;SUBSTITUTE(G101,"
",""""&amp;","&amp;"""")&amp;""""&amp;")")</f>
        <v/>
      </c>
    </row>
    <row r="102" spans="2:11">
      <c r="B102" s="20" t="s"/>
      <c r="C102" s="20" t="s"/>
      <c r="K102" s="14" t="str">
        <f>=IF(ISBLANK(G102),"","("&amp;""""&amp;SUBSTITUTE(G102,"
",""""&amp;","&amp;"""")&amp;""""&amp;")")</f>
        <v/>
      </c>
    </row>
    <row r="103" spans="2:11">
      <c r="B103" s="20" t="s"/>
      <c r="C103" s="20" t="s"/>
      <c r="K103" s="14" t="str">
        <f>=IF(ISBLANK(G103),"","("&amp;""""&amp;SUBSTITUTE(G103,"
",""""&amp;","&amp;"""")&amp;""""&amp;")")</f>
        <v/>
      </c>
    </row>
    <row r="104" spans="2:11">
      <c r="B104" s="20" t="s"/>
      <c r="C104" s="20" t="s"/>
      <c r="K104" s="14" t="str">
        <f>=IF(ISBLANK(G104),"","("&amp;""""&amp;SUBSTITUTE(G104,"
",""""&amp;","&amp;"""")&amp;""""&amp;")")</f>
        <v/>
      </c>
    </row>
    <row r="105" spans="2:11">
      <c r="B105" s="20" t="s"/>
      <c r="C105" s="20" t="s"/>
      <c r="K105" s="14" t="str">
        <f>=IF(ISBLANK(G105),"","("&amp;""""&amp;SUBSTITUTE(G105,"
",""""&amp;","&amp;"""")&amp;""""&amp;")")</f>
        <v/>
      </c>
    </row>
    <row r="106" spans="2:11">
      <c r="B106" s="20" t="s"/>
      <c r="C106" s="20" t="s"/>
      <c r="K106" s="14" t="str">
        <f>=IF(ISBLANK(G106),"","("&amp;""""&amp;SUBSTITUTE(G106,"
",""""&amp;","&amp;"""")&amp;""""&amp;")")</f>
        <v/>
      </c>
    </row>
    <row r="107" spans="2:11">
      <c r="B107" s="20" t="s"/>
      <c r="C107" s="20" t="s"/>
      <c r="K107" s="14" t="str">
        <f>=IF(ISBLANK(G107),"","("&amp;""""&amp;SUBSTITUTE(G107,"
",""""&amp;","&amp;"""")&amp;""""&amp;")")</f>
        <v/>
      </c>
    </row>
    <row r="108" spans="2:11">
      <c r="B108" s="20" t="s"/>
      <c r="C108" s="20" t="s"/>
      <c r="K108" s="14" t="str">
        <f>=IF(ISBLANK(G108),"","("&amp;""""&amp;SUBSTITUTE(G108,"
",""""&amp;","&amp;"""")&amp;""""&amp;")")</f>
        <v/>
      </c>
    </row>
    <row r="109" spans="2:11">
      <c r="B109" s="20" t="s"/>
      <c r="C109" s="20" t="s"/>
      <c r="K109" s="14" t="str">
        <f>=IF(ISBLANK(G109),"","("&amp;""""&amp;SUBSTITUTE(G109,"
",""""&amp;","&amp;"""")&amp;""""&amp;")")</f>
        <v/>
      </c>
    </row>
    <row r="110" spans="2:11">
      <c r="B110" s="20" t="s"/>
      <c r="C110" s="20" t="s"/>
      <c r="K110" s="14" t="str">
        <f>=IF(ISBLANK(G110),"","("&amp;""""&amp;SUBSTITUTE(G110,"
",""""&amp;","&amp;"""")&amp;""""&amp;")")</f>
        <v/>
      </c>
    </row>
    <row r="111" spans="2:11">
      <c r="B111" s="20" t="s"/>
      <c r="C111" s="20" t="s"/>
      <c r="K111" s="14" t="str">
        <f>=IF(ISBLANK(G111),"","("&amp;""""&amp;SUBSTITUTE(G111,"
",""""&amp;","&amp;"""")&amp;""""&amp;")")</f>
        <v/>
      </c>
    </row>
    <row r="112" spans="2:11">
      <c r="B112" s="20" t="s"/>
      <c r="C112" s="20" t="s"/>
      <c r="K112" s="14" t="str">
        <f>=IF(ISBLANK(G112),"","("&amp;""""&amp;SUBSTITUTE(G112,"
",""""&amp;","&amp;"""")&amp;""""&amp;")")</f>
        <v/>
      </c>
    </row>
    <row r="113" spans="2:11">
      <c r="B113" s="20" t="s"/>
      <c r="C113" s="20" t="s"/>
      <c r="K113" s="14" t="str">
        <f>=IF(ISBLANK(G113),"","("&amp;""""&amp;SUBSTITUTE(G113,"
",""""&amp;","&amp;"""")&amp;""""&amp;")")</f>
        <v/>
      </c>
    </row>
    <row r="114" spans="2:11">
      <c r="B114" s="20" t="s"/>
      <c r="C114" s="20" t="s"/>
      <c r="K114" s="14" t="str">
        <f>=IF(ISBLANK(G114),"","("&amp;""""&amp;SUBSTITUTE(G114,"
",""""&amp;","&amp;"""")&amp;""""&amp;")")</f>
        <v/>
      </c>
    </row>
    <row r="115" spans="2:11">
      <c r="B115" s="20" t="s"/>
      <c r="C115" s="20" t="s"/>
      <c r="K115" s="14" t="str">
        <f>=IF(ISBLANK(G115),"","("&amp;""""&amp;SUBSTITUTE(G115,"
",""""&amp;","&amp;"""")&amp;""""&amp;")")</f>
        <v/>
      </c>
    </row>
    <row r="116" spans="2:11">
      <c r="B116" s="20" t="s"/>
      <c r="C116" s="20" t="s"/>
      <c r="K116" s="14" t="str">
        <f>=IF(ISBLANK(G116),"","("&amp;""""&amp;SUBSTITUTE(G116,"
",""""&amp;","&amp;"""")&amp;""""&amp;")")</f>
        <v/>
      </c>
    </row>
    <row r="117" spans="2:11">
      <c r="B117" s="20" t="s"/>
      <c r="C117" s="20" t="s"/>
      <c r="K117" s="14" t="str">
        <f>=IF(ISBLANK(G117),"","("&amp;""""&amp;SUBSTITUTE(G117,"
",""""&amp;","&amp;"""")&amp;""""&amp;")")</f>
        <v/>
      </c>
    </row>
    <row r="118" spans="2:11">
      <c r="B118" s="20" t="s"/>
      <c r="C118" s="20" t="s"/>
      <c r="K118" s="14" t="str">
        <f>=IF(ISBLANK(G118),"","("&amp;""""&amp;SUBSTITUTE(G118,"
",""""&amp;","&amp;"""")&amp;""""&amp;")")</f>
        <v/>
      </c>
    </row>
    <row r="119" spans="2:11">
      <c r="B119" s="20" t="s"/>
      <c r="C119" s="20" t="s"/>
      <c r="K119" s="14" t="str">
        <f>=IF(ISBLANK(G119),"","("&amp;""""&amp;SUBSTITUTE(G119,"
",""""&amp;","&amp;"""")&amp;""""&amp;")")</f>
        <v/>
      </c>
    </row>
    <row r="120" spans="2:11">
      <c r="B120" s="20" t="s"/>
      <c r="C120" s="20" t="s"/>
      <c r="K120" s="14" t="str">
        <f>=IF(ISBLANK(G120),"","("&amp;""""&amp;SUBSTITUTE(G120,"
",""""&amp;","&amp;"""")&amp;""""&amp;")")</f>
        <v/>
      </c>
    </row>
    <row r="121" spans="2:11">
      <c r="B121" s="20" t="s"/>
      <c r="C121" s="20" t="s"/>
      <c r="K121" s="14" t="str">
        <f>=IF(ISBLANK(G121),"","("&amp;""""&amp;SUBSTITUTE(G121,"
",""""&amp;","&amp;"""")&amp;""""&amp;")")</f>
        <v/>
      </c>
    </row>
    <row r="122" spans="2:11">
      <c r="B122" s="20" t="s"/>
      <c r="C122" s="20" t="s"/>
      <c r="K122" s="14" t="str">
        <f>=IF(ISBLANK(G122),"","("&amp;""""&amp;SUBSTITUTE(G122,"
",""""&amp;","&amp;"""")&amp;""""&amp;")")</f>
        <v/>
      </c>
    </row>
    <row r="123" spans="2:11">
      <c r="B123" s="20" t="s"/>
      <c r="C123" s="20" t="s"/>
      <c r="K123" s="14" t="str">
        <f>=IF(ISBLANK(G123),"","("&amp;""""&amp;SUBSTITUTE(G123,"
",""""&amp;","&amp;"""")&amp;""""&amp;")")</f>
        <v/>
      </c>
    </row>
    <row r="124" spans="2:11">
      <c r="B124" s="20" t="s"/>
      <c r="C124" s="20" t="s"/>
      <c r="K124" s="14" t="str">
        <f>=IF(ISBLANK(G124),"","("&amp;""""&amp;SUBSTITUTE(G124,"
",""""&amp;","&amp;"""")&amp;""""&amp;")")</f>
        <v/>
      </c>
    </row>
    <row r="125" spans="2:11">
      <c r="B125" s="20" t="s"/>
      <c r="C125" s="20" t="s"/>
      <c r="K125" s="14" t="str">
        <f>=IF(ISBLANK(G125),"","("&amp;""""&amp;SUBSTITUTE(G125,"
",""""&amp;","&amp;"""")&amp;""""&amp;")")</f>
        <v/>
      </c>
    </row>
    <row r="126" spans="2:11">
      <c r="B126" s="20" t="s"/>
      <c r="C126" s="20" t="s"/>
      <c r="K126" s="14" t="str">
        <f>=IF(ISBLANK(G126),"","("&amp;""""&amp;SUBSTITUTE(G126,"
",""""&amp;","&amp;"""")&amp;""""&amp;")")</f>
        <v/>
      </c>
    </row>
    <row r="127" spans="2:11">
      <c r="B127" s="20" t="s"/>
      <c r="C127" s="20" t="s"/>
      <c r="K127" s="14" t="str">
        <f>=IF(ISBLANK(G127),"","("&amp;""""&amp;SUBSTITUTE(G127,"
",""""&amp;","&amp;"""")&amp;""""&amp;")")</f>
        <v/>
      </c>
    </row>
    <row r="128" spans="2:11">
      <c r="B128" s="20" t="s"/>
      <c r="C128" s="20" t="s"/>
      <c r="K128" s="14" t="str">
        <f>=IF(ISBLANK(G128),"","("&amp;""""&amp;SUBSTITUTE(G128,"
",""""&amp;","&amp;"""")&amp;""""&amp;")")</f>
        <v/>
      </c>
    </row>
    <row r="129" spans="2:11">
      <c r="B129" s="20" t="s"/>
      <c r="C129" s="20" t="s"/>
      <c r="K129" s="14" t="str">
        <f>=IF(ISBLANK(G129),"","("&amp;""""&amp;SUBSTITUTE(G129,"
",""""&amp;","&amp;"""")&amp;""""&amp;")")</f>
        <v/>
      </c>
    </row>
    <row r="130" spans="2:11">
      <c r="B130" s="20" t="s"/>
      <c r="C130" s="20" t="s"/>
      <c r="K130" s="14" t="str">
        <f>=IF(ISBLANK(G130),"","("&amp;""""&amp;SUBSTITUTE(G130,"
",""""&amp;","&amp;"""")&amp;""""&amp;")")</f>
        <v/>
      </c>
    </row>
    <row r="131" spans="2:11">
      <c r="B131" s="20" t="s"/>
      <c r="C131" s="20" t="s"/>
      <c r="K131" s="14" t="str">
        <f>=IF(ISBLANK(G131),"","("&amp;""""&amp;SUBSTITUTE(G131,"
",""""&amp;","&amp;"""")&amp;""""&amp;")")</f>
        <v/>
      </c>
    </row>
    <row r="132" spans="2:11">
      <c r="B132" s="20" t="s"/>
      <c r="C132" s="20" t="s"/>
      <c r="K132" s="14" t="str">
        <f>=IF(ISBLANK(G132),"","("&amp;""""&amp;SUBSTITUTE(G132,"
",""""&amp;","&amp;"""")&amp;""""&amp;")")</f>
        <v/>
      </c>
    </row>
    <row r="133" spans="2:11">
      <c r="B133" s="20" t="s"/>
      <c r="C133" s="20" t="s"/>
      <c r="K133" s="14" t="str">
        <f>=IF(ISBLANK(G133),"","("&amp;""""&amp;SUBSTITUTE(G133,"
",""""&amp;","&amp;"""")&amp;""""&amp;")")</f>
        <v/>
      </c>
    </row>
    <row r="134" spans="2:11">
      <c r="B134" s="20" t="s"/>
      <c r="C134" s="20" t="s"/>
      <c r="K134" s="14" t="str">
        <f>=IF(ISBLANK(G134),"","("&amp;""""&amp;SUBSTITUTE(G134,"
",""""&amp;","&amp;"""")&amp;""""&amp;")")</f>
        <v/>
      </c>
    </row>
    <row r="135" spans="2:11">
      <c r="B135" s="20" t="s"/>
      <c r="C135" s="20" t="s"/>
      <c r="K135" s="14" t="str">
        <f>=IF(ISBLANK(G135),"","("&amp;""""&amp;SUBSTITUTE(G135,"
",""""&amp;","&amp;"""")&amp;""""&amp;")")</f>
        <v/>
      </c>
    </row>
    <row r="136" spans="2:3">
      <c r="B136" s="20" t="s"/>
      <c r="C136" s="20" t="s"/>
    </row>
    <row r="137" spans="2:3">
      <c r="B137" s="20" t="s"/>
      <c r="C137" s="20" t="s"/>
    </row>
    <row r="138" spans="2:3">
      <c r="B138" s="20" t="s"/>
      <c r="C138" s="20" t="s"/>
    </row>
    <row r="139" spans="2:3">
      <c r="B139" s="20" t="s"/>
      <c r="C139" s="20" t="s"/>
    </row>
    <row r="140" spans="2:3">
      <c r="B140" s="20" t="s"/>
      <c r="C140" s="20" t="s"/>
    </row>
    <row r="141" spans="2:3">
      <c r="B141" s="20" t="s"/>
      <c r="C141" s="20" t="s"/>
    </row>
    <row r="142" spans="2:3">
      <c r="B142" s="20" t="s"/>
      <c r="C142" s="20" t="s"/>
    </row>
    <row r="143" spans="2:3">
      <c r="B143" s="20" t="s"/>
      <c r="C143" s="20" t="s"/>
    </row>
    <row r="144" spans="2:3">
      <c r="B144" s="20" t="s"/>
      <c r="C144" s="20" t="s"/>
    </row>
    <row r="145" spans="2:3">
      <c r="B145" s="20" t="s"/>
      <c r="C145" s="20" t="s"/>
    </row>
    <row r="146" spans="2:3">
      <c r="B146" s="20" t="s"/>
      <c r="C146" s="20" t="s"/>
    </row>
    <row r="147" spans="2:3">
      <c r="B147" s="20" t="s"/>
      <c r="C147" s="20" t="s"/>
    </row>
    <row r="148" spans="2:3">
      <c r="B148" s="20" t="s"/>
      <c r="C148" s="20" t="s"/>
    </row>
    <row r="149" spans="2:3">
      <c r="B149" s="20" t="s"/>
      <c r="C149" s="20" t="s"/>
    </row>
    <row r="150" spans="2:3">
      <c r="B150" s="20" t="s"/>
      <c r="C150" s="20" t="s"/>
    </row>
    <row r="151" spans="2:3">
      <c r="B151" s="20" t="s"/>
      <c r="C151" s="20" t="s"/>
    </row>
    <row r="152" spans="2:3">
      <c r="B152" s="20" t="s"/>
      <c r="C152" s="20" t="s"/>
    </row>
    <row r="153" spans="2:3">
      <c r="B153" s="20" t="s"/>
      <c r="C153" s="20" t="s"/>
    </row>
    <row r="154" spans="2:3">
      <c r="B154" s="20" t="s"/>
      <c r="C154" s="20" t="s"/>
    </row>
    <row r="155" spans="2:3">
      <c r="B155" s="20" t="s"/>
      <c r="C155" s="20" t="s"/>
    </row>
    <row r="156" spans="2:3">
      <c r="B156" s="20" t="s"/>
      <c r="C156" s="20" t="s"/>
    </row>
    <row r="157" spans="2:3">
      <c r="B157" s="20" t="s"/>
      <c r="C157" s="20" t="s"/>
    </row>
    <row r="158" spans="2:3">
      <c r="B158" s="20" t="s"/>
      <c r="C158" s="20" t="s"/>
    </row>
    <row r="159" spans="2:3">
      <c r="B159" s="20" t="s"/>
      <c r="C159" s="20" t="s"/>
    </row>
    <row r="160" spans="2:3">
      <c r="B160" s="20" t="s"/>
      <c r="C160" s="20" t="s"/>
    </row>
    <row r="161" spans="2:3">
      <c r="B161" s="20" t="s"/>
      <c r="C161" s="20" t="s"/>
    </row>
    <row r="162" spans="2:3">
      <c r="B162" s="20" t="s"/>
      <c r="C162" s="20" t="s"/>
    </row>
    <row r="163" spans="2:3">
      <c r="B163" s="20" t="s"/>
      <c r="C163" s="20" t="s"/>
    </row>
    <row r="164" spans="2:3">
      <c r="B164" s="20" t="s"/>
      <c r="C164" s="20" t="s"/>
    </row>
    <row r="165" spans="2:3">
      <c r="B165" s="20" t="s"/>
      <c r="C165" s="20" t="s"/>
    </row>
    <row r="166" spans="2:3">
      <c r="B166" s="20" t="s"/>
      <c r="C166" s="20" t="s"/>
    </row>
    <row r="167" spans="2:3">
      <c r="B167" s="20" t="s"/>
      <c r="C167" s="20" t="s"/>
    </row>
    <row r="168" spans="2:3">
      <c r="B168" s="20" t="s"/>
      <c r="C168" s="20" t="s"/>
    </row>
    <row r="169" spans="2:3">
      <c r="B169" s="20" t="s"/>
      <c r="C169" s="20" t="s"/>
    </row>
    <row r="170" spans="2:3">
      <c r="B170" s="20" t="s"/>
      <c r="C170" s="20" t="s"/>
    </row>
    <row r="171" spans="2:3">
      <c r="B171" s="20" t="s"/>
      <c r="C171" s="20" t="s"/>
    </row>
    <row r="172" spans="2:3">
      <c r="B172" s="20" t="s"/>
      <c r="C172" s="20" t="s"/>
    </row>
    <row r="173" spans="2:3">
      <c r="B173" s="20" t="s"/>
      <c r="C173" s="20" t="s"/>
    </row>
    <row r="174" spans="2:3">
      <c r="B174" s="20" t="s"/>
      <c r="C174" s="20" t="s"/>
    </row>
    <row r="175" spans="2:3">
      <c r="B175" s="20" t="s"/>
      <c r="C175" s="20" t="s"/>
    </row>
    <row r="176" spans="2:3">
      <c r="B176" s="20" t="s"/>
      <c r="C176" s="20" t="s"/>
    </row>
    <row r="177" spans="2:3">
      <c r="B177" s="20" t="s"/>
      <c r="C177" s="20" t="s"/>
    </row>
    <row r="178" spans="2:3">
      <c r="B178" s="20" t="s"/>
      <c r="C178" s="20" t="s"/>
    </row>
    <row r="179" spans="2:3">
      <c r="B179" s="20" t="s"/>
      <c r="C179" s="20" t="s"/>
    </row>
    <row r="180" spans="2:3">
      <c r="B180" s="20" t="s"/>
      <c r="C180" s="20" t="s"/>
    </row>
    <row r="181" spans="2:3">
      <c r="B181" s="20" t="s"/>
      <c r="C181" s="20" t="s"/>
    </row>
    <row r="182" spans="2:3">
      <c r="B182" s="20" t="s"/>
      <c r="C182" s="20" t="s"/>
    </row>
    <row r="183" spans="2:3">
      <c r="B183" s="20" t="s"/>
      <c r="C183" s="20" t="s"/>
    </row>
    <row r="184" spans="2:3">
      <c r="B184" s="20" t="s"/>
      <c r="C184" s="20" t="s"/>
    </row>
    <row r="185" spans="2:3">
      <c r="B185" s="20" t="s"/>
      <c r="C185" s="20" t="s"/>
    </row>
    <row r="186" spans="2:3">
      <c r="B186" s="20" t="s"/>
      <c r="C186" s="20" t="s"/>
    </row>
    <row r="187" spans="2:3">
      <c r="B187" s="20" t="s"/>
      <c r="C187" s="20" t="s"/>
    </row>
    <row r="188" spans="2:3">
      <c r="B188" s="20" t="s"/>
      <c r="C188" s="20" t="s"/>
    </row>
    <row r="189" spans="2:3">
      <c r="B189" s="20" t="s"/>
      <c r="C189" s="20" t="s"/>
    </row>
    <row r="190" spans="2:3">
      <c r="B190" s="20" t="s"/>
      <c r="C190" s="20" t="s"/>
    </row>
    <row r="191" spans="2:3">
      <c r="B191" s="20" t="s"/>
      <c r="C191" s="20" t="s"/>
    </row>
    <row r="192" spans="2:3">
      <c r="B192" s="20" t="s"/>
      <c r="C192" s="20" t="s"/>
    </row>
    <row r="193" spans="2:3">
      <c r="B193" s="20" t="s"/>
      <c r="C193" s="20" t="s"/>
    </row>
    <row r="194" spans="2:3">
      <c r="B194" s="20" t="s"/>
      <c r="C194" s="20" t="s"/>
    </row>
    <row r="195" spans="2:3">
      <c r="B195" s="20" t="s"/>
      <c r="C195" s="20" t="s"/>
    </row>
    <row r="196" spans="2:3">
      <c r="B196" s="20" t="s"/>
      <c r="C196" s="20" t="s"/>
    </row>
    <row r="197" spans="2:3">
      <c r="B197" s="20" t="s"/>
      <c r="C197" s="20" t="s"/>
    </row>
    <row r="198" spans="2:3">
      <c r="B198" s="20" t="s"/>
      <c r="C198" s="20" t="s"/>
    </row>
    <row r="199" spans="2:3">
      <c r="B199" s="20" t="s"/>
      <c r="C199" s="20" t="s"/>
    </row>
    <row r="200" spans="2:3">
      <c r="B200" s="20" t="s"/>
      <c r="C200" s="20" t="s"/>
    </row>
  </sheetData>
  <dataValidations>
    <dataValidation type="list" errorStyle="stop" operator="between" allowBlank="1" showDropDown="0" showInputMessage="1" showErrorMessage="1" prompt="" sqref="B2:B200">
      <formula1>"TXT_TaskType_主线,TXT_TaskType_支线,TXT_TaskType_隐藏,TXT_TaskType_子任务,"</formula1>
    </dataValidation>
    <dataValidation type="list" errorStyle="stop" operator="between" allowBlank="1" showDropDown="0" showInputMessage="1" showErrorMessage="1" prompt="" sqref="C2:C200">
      <formula1>"False,True,"</formula1>
    </dataValidation>
  </dataValidations>
</worksheet>
</file>

<file path=xl/worksheets/sheet8.xml><?xml version="1.0" encoding="utf-8"?>
<worksheet xmlns="http://schemas.openxmlformats.org/spreadsheetml/2006/main">
  <sheetPr codeName="条件">
    <tabColor/>
  </sheetPr>
  <dimension ref="B1"/>
  <sheetViews>
    <sheetView showGridLines="1" workbookViewId="0"/>
  </sheetViews>
  <sheetFormatPr baseColWidth="13" defaultRowHeight="18" customHeight="1"/>
  <sheetData>
    <row r="1" spans="1:2">
      <c r="A1" s="4" t="s">
        <v>444</v>
      </c>
      <c r="B1" s="4" t="s">
        <v>445</v>
      </c>
    </row>
  </sheetData>
</worksheet>
</file>

<file path=xl/worksheets/sheet9.xml><?xml version="1.0" encoding="utf-8"?>
<worksheet xmlns="http://schemas.openxmlformats.org/spreadsheetml/2006/main">
  <sheetPr codeName="人物">
    <tabColor/>
  </sheetPr>
  <dimension ref="N18"/>
  <sheetViews>
    <sheetView showGridLines="1" workbookViewId="0"/>
  </sheetViews>
  <sheetFormatPr baseColWidth="13" defaultRowHeight="18" customHeight="1"/>
  <cols>
    <col min="2" max="2" width="17.4023" customWidth="1"/>
    <col min="3" max="3" width="8.76172" customWidth="1"/>
    <col min="4" max="4" width="20.2344" customWidth="1"/>
    <col min="5" max="5" width="42.2227" customWidth="1"/>
    <col min="6" max="6" width="12.8125" customWidth="1"/>
    <col min="7" max="7" width="27.3828" customWidth="1"/>
    <col min="8" max="8" width="44.7109" customWidth="1"/>
    <col min="9" max="9" width="39.7109" customWidth="1"/>
    <col min="10" max="14" width="48.7109" customWidth="1"/>
  </cols>
  <sheetData>
    <row r="1" spans="2:14">
      <c r="B1" s="4" t="s">
        <v>446</v>
      </c>
      <c r="C1" s="4" t="s">
        <v>447</v>
      </c>
      <c r="D1" s="4" t="s">
        <v>448</v>
      </c>
      <c r="E1" s="4" t="s">
        <v>449</v>
      </c>
      <c r="F1" s="4" t="s">
        <v>450</v>
      </c>
      <c r="G1" s="4" t="s">
        <v>451</v>
      </c>
      <c r="H1" s="4" t="s">
        <v>452</v>
      </c>
      <c r="I1" s="43" t="s">
        <v>453</v>
      </c>
      <c r="J1" s="43" t="s">
        <v>454</v>
      </c>
      <c r="K1" s="43" t="s">
        <v>455</v>
      </c>
      <c r="L1" s="43" t="s">
        <v>456</v>
      </c>
      <c r="M1" s="43" t="s">
        <v>457</v>
      </c>
      <c r="N1" s="43" t="s">
        <v>458</v>
      </c>
    </row>
    <row r="2" spans="1:14" s="80" customFormat="1">
      <c r="A2" s="44" t="s">
        <v>128</v>
      </c>
      <c r="B2" s="43" t="str">
        <f>="TXT_Name_"&amp;A2</f>
        <v>TXT_Name_CHA_主角</v>
      </c>
      <c r="C2" s="44" t="s"/>
      <c r="D2" s="45" t="str">
        <f>="TXT_Identify_"&amp;A2</f>
        <v>TXT_Identify_CHA_主角</v>
      </c>
      <c r="E2" s="45" t="s"/>
      <c r="F2" s="45" t="s"/>
      <c r="G2" s="45" t="s"/>
      <c r="H2" s="43" t="s"/>
      <c r="I2" s="43" t="s"/>
      <c r="J2" s="43" t="s"/>
      <c r="K2" s="43" t="s"/>
      <c r="L2" s="43" t="s"/>
      <c r="M2" s="43" t="s"/>
      <c r="N2" s="43" t="s"/>
    </row>
    <row r="3" spans="1:14" s="80" customFormat="1">
      <c r="A3" s="44" t="s">
        <v>147</v>
      </c>
      <c r="B3" s="43" t="s"/>
      <c r="C3" s="44" t="s"/>
      <c r="D3" s="45" t="s"/>
      <c r="E3" s="45" t="s"/>
      <c r="F3" s="45" t="s"/>
      <c r="G3" s="45" t="s"/>
      <c r="H3" s="43" t="s"/>
      <c r="I3" s="43" t="s"/>
      <c r="J3" s="43" t="s"/>
      <c r="K3" s="43" t="s"/>
      <c r="L3" s="43" t="s"/>
      <c r="M3" s="43" t="s"/>
      <c r="N3" s="43" t="s"/>
    </row>
    <row r="4" spans="1:14" s="80" customFormat="1">
      <c r="A4" s="44" t="s">
        <v>284</v>
      </c>
      <c r="B4" s="43" t="str">
        <f>="TXT_Name_"&amp;A4</f>
        <v>TXT_Name_CHA_宫本奈奈</v>
      </c>
      <c r="C4" s="44">
        <v>17</v>
      </c>
      <c r="D4" s="45" t="str">
        <f>="TXT_Identify_"&amp;A4</f>
        <v>TXT_Identify_CHA_宫本奈奈</v>
      </c>
      <c r="E4" s="45" t="s">
        <v>463</v>
      </c>
      <c r="F4" s="45" t="s">
        <v>464</v>
      </c>
      <c r="G4" s="45" t="s">
        <v>465</v>
      </c>
      <c r="H4" s="43" t="s">
        <v>466</v>
      </c>
      <c r="I4" s="43" t="s">
        <v>467</v>
      </c>
      <c r="J4" s="43" t="s">
        <v>468</v>
      </c>
      <c r="K4" s="43" t="s">
        <v>469</v>
      </c>
      <c r="L4" s="43" t="s">
        <v>470</v>
      </c>
      <c r="M4" s="43" t="s">
        <v>471</v>
      </c>
      <c r="N4" s="43" t="s">
        <v>472</v>
      </c>
    </row>
    <row r="5" spans="1:14" s="80" customFormat="1">
      <c r="A5" s="44" t="s">
        <v>285</v>
      </c>
      <c r="B5" s="43" t="str">
        <f>="TXT_Name_"&amp;A5</f>
        <v>TXT_Name_CHA_佐藤阳菜</v>
      </c>
      <c r="C5" s="44">
        <v>18</v>
      </c>
      <c r="D5" s="45" t="str">
        <f>="TXT_Identify_"&amp;A5</f>
        <v>TXT_Identify_CHA_佐藤阳菜</v>
      </c>
      <c r="E5" s="45" t="s">
        <v>475</v>
      </c>
      <c r="F5" s="45" t="s">
        <v>476</v>
      </c>
      <c r="G5" s="45" t="s">
        <v>477</v>
      </c>
      <c r="H5" s="43" t="s">
        <v>478</v>
      </c>
      <c r="I5" s="43" t="s">
        <v>479</v>
      </c>
      <c r="J5" s="43" t="s">
        <v>480</v>
      </c>
      <c r="K5" s="43" t="s">
        <v>481</v>
      </c>
      <c r="L5" s="43" t="s">
        <v>482</v>
      </c>
      <c r="M5" s="43" t="s">
        <v>483</v>
      </c>
      <c r="N5" s="43" t="s">
        <v>484</v>
      </c>
    </row>
    <row r="6" spans="1:14" s="80" customFormat="1">
      <c r="A6" s="44" t="s">
        <v>286</v>
      </c>
      <c r="B6" s="43" t="str">
        <f>="TXT_Name_"&amp;A6</f>
        <v>TXT_Name_CHA_铃木凛</v>
      </c>
      <c r="C6" s="44">
        <v>17</v>
      </c>
      <c r="D6" s="45" t="str">
        <f>="TXT_Identify_"&amp;A6</f>
        <v>TXT_Identify_CHA_铃木凛</v>
      </c>
      <c r="E6" s="45" t="s">
        <v>487</v>
      </c>
      <c r="F6" s="45" t="s">
        <v>488</v>
      </c>
      <c r="G6" s="45" t="s">
        <v>489</v>
      </c>
      <c r="H6" s="43" t="s">
        <v>490</v>
      </c>
      <c r="I6" s="43" t="s">
        <v>491</v>
      </c>
      <c r="J6" s="43" t="s">
        <v>492</v>
      </c>
      <c r="K6" s="43" t="s">
        <v>493</v>
      </c>
      <c r="L6" s="43" t="s">
        <v>494</v>
      </c>
      <c r="M6" s="43" t="s">
        <v>495</v>
      </c>
      <c r="N6" s="43" t="s">
        <v>496</v>
      </c>
    </row>
    <row r="7" spans="1:14" s="80" customFormat="1">
      <c r="A7" s="44" t="s">
        <v>287</v>
      </c>
      <c r="B7" s="43" t="str">
        <f>="TXT_Name_"&amp;A7</f>
        <v>TXT_Name_CHA_铃木葵</v>
      </c>
      <c r="C7" s="44">
        <v>17</v>
      </c>
      <c r="D7" s="45" t="str">
        <f>="TXT_Identify_"&amp;A7</f>
        <v>TXT_Identify_CHA_铃木葵</v>
      </c>
      <c r="E7" s="45" t="s">
        <v>499</v>
      </c>
      <c r="F7" s="45" t="s">
        <v>500</v>
      </c>
      <c r="G7" s="45" t="s">
        <v>501</v>
      </c>
      <c r="H7" s="43" t="s">
        <v>502</v>
      </c>
      <c r="I7" s="43" t="s">
        <v>503</v>
      </c>
      <c r="J7" s="43" t="s">
        <v>504</v>
      </c>
      <c r="K7" s="43" t="s">
        <v>505</v>
      </c>
      <c r="L7" s="43" t="s">
        <v>506</v>
      </c>
      <c r="M7" s="43" t="s">
        <v>507</v>
      </c>
      <c r="N7" s="43" t="s">
        <v>508</v>
      </c>
    </row>
    <row r="8" spans="1:14" s="80" customFormat="1">
      <c r="A8" s="44" t="s">
        <v>136</v>
      </c>
      <c r="B8" s="43" t="str">
        <f>="TXT_Name_"&amp;A8</f>
        <v>TXT_Name_CHA_西园寺雪</v>
      </c>
      <c r="C8" s="44">
        <v>16</v>
      </c>
      <c r="D8" s="45" t="str">
        <f>="TXT_Identify_"&amp;A8</f>
        <v>TXT_Identify_CHA_西园寺雪</v>
      </c>
      <c r="E8" s="45" t="s">
        <v>511</v>
      </c>
      <c r="F8" s="45" t="s">
        <v>512</v>
      </c>
      <c r="G8" s="45" t="s">
        <v>513</v>
      </c>
      <c r="H8" s="43" t="s">
        <v>514</v>
      </c>
      <c r="I8" s="43" t="s">
        <v>515</v>
      </c>
      <c r="J8" s="43" t="s">
        <v>516</v>
      </c>
      <c r="K8" s="43" t="s">
        <v>517</v>
      </c>
      <c r="L8" s="43" t="s">
        <v>518</v>
      </c>
      <c r="M8" s="43" t="s">
        <v>519</v>
      </c>
      <c r="N8" s="43" t="s">
        <v>520</v>
      </c>
    </row>
    <row r="9" spans="1:14" s="80" customFormat="1">
      <c r="A9" s="44" t="s">
        <v>288</v>
      </c>
      <c r="B9" s="43" t="str">
        <f>="TXT_Name_"&amp;A9</f>
        <v>TXT_Name_CHA_白鸟凛子</v>
      </c>
      <c r="C9" s="44">
        <v>17</v>
      </c>
      <c r="D9" s="45" t="str">
        <f>="TXT_Identify_"&amp;A9</f>
        <v>TXT_Identify_CHA_白鸟凛子</v>
      </c>
      <c r="E9" s="45" t="s">
        <v>523</v>
      </c>
      <c r="F9" s="45" t="s">
        <v>524</v>
      </c>
      <c r="G9" s="45" t="s">
        <v>525</v>
      </c>
      <c r="H9" s="43" t="s">
        <v>526</v>
      </c>
      <c r="I9" s="43" t="s">
        <v>527</v>
      </c>
      <c r="J9" s="43" t="s">
        <v>528</v>
      </c>
      <c r="K9" s="43" t="s">
        <v>529</v>
      </c>
      <c r="L9" s="43" t="s">
        <v>530</v>
      </c>
      <c r="M9" s="43" t="s">
        <v>531</v>
      </c>
      <c r="N9" s="43" t="s">
        <v>532</v>
      </c>
    </row>
    <row r="10" spans="1:14" s="80" customFormat="1">
      <c r="A10" s="44" t="s">
        <v>290</v>
      </c>
      <c r="B10" s="43" t="str">
        <f>="TXT_Name_"&amp;A10</f>
        <v>TXT_Name_CHA_田中美代子</v>
      </c>
      <c r="C10" s="44">
        <v>34</v>
      </c>
      <c r="D10" s="45" t="str">
        <f>="TXT_Identify_"&amp;A10</f>
        <v>TXT_Identify_CHA_田中美代子</v>
      </c>
      <c r="E10" s="45" t="s">
        <v>535</v>
      </c>
      <c r="F10" s="45" t="s">
        <v>536</v>
      </c>
      <c r="G10" s="45" t="s">
        <v>537</v>
      </c>
      <c r="H10" s="43" t="s">
        <v>538</v>
      </c>
      <c r="I10" s="43" t="s">
        <v>539</v>
      </c>
      <c r="J10" s="43" t="s">
        <v>540</v>
      </c>
      <c r="K10" s="43" t="s">
        <v>541</v>
      </c>
      <c r="L10" s="43" t="s">
        <v>542</v>
      </c>
      <c r="M10" s="43" t="s">
        <v>543</v>
      </c>
      <c r="N10" s="43" t="s">
        <v>544</v>
      </c>
    </row>
    <row r="11" spans="1:14" s="80" customFormat="1">
      <c r="A11" s="44" t="s">
        <v>292</v>
      </c>
      <c r="B11" s="43" t="str">
        <f>="TXT_Name_"&amp;A11</f>
        <v>TXT_Name_CHA_田中小花</v>
      </c>
      <c r="C11" s="44">
        <v>12</v>
      </c>
      <c r="D11" s="45" t="str">
        <f>="TXT_Identify_"&amp;A11</f>
        <v>TXT_Identify_CHA_田中小花</v>
      </c>
      <c r="E11" s="45" t="s">
        <v>547</v>
      </c>
      <c r="F11" s="45" t="s">
        <v>548</v>
      </c>
      <c r="G11" s="45" t="s">
        <v>549</v>
      </c>
      <c r="H11" s="43" t="s">
        <v>550</v>
      </c>
      <c r="I11" s="43" t="s">
        <v>551</v>
      </c>
      <c r="J11" s="43" t="s">
        <v>552</v>
      </c>
      <c r="K11" s="43" t="s">
        <v>553</v>
      </c>
      <c r="L11" s="43" t="s">
        <v>554</v>
      </c>
      <c r="M11" s="43" t="s">
        <v>555</v>
      </c>
      <c r="N11" s="43" t="s">
        <v>556</v>
      </c>
    </row>
    <row r="12" spans="1:14" s="80" customFormat="1">
      <c r="A12" s="44" t="s">
        <v>294</v>
      </c>
      <c r="B12" s="43" t="str">
        <f>="TXT_Name_"&amp;A12</f>
        <v>TXT_Name_CHA_藤原静</v>
      </c>
      <c r="C12" s="44">
        <v>19</v>
      </c>
      <c r="D12" s="45" t="str">
        <f>="TXT_Identify_"&amp;A12</f>
        <v>TXT_Identify_CHA_藤原静</v>
      </c>
      <c r="E12" s="45" t="s">
        <v>559</v>
      </c>
      <c r="F12" s="45" t="s">
        <v>560</v>
      </c>
      <c r="G12" s="45" t="s">
        <v>561</v>
      </c>
      <c r="H12" s="43" t="s">
        <v>562</v>
      </c>
      <c r="I12" s="43" t="s">
        <v>563</v>
      </c>
      <c r="J12" s="43" t="s">
        <v>564</v>
      </c>
      <c r="K12" s="43" t="s">
        <v>565</v>
      </c>
      <c r="L12" s="43" t="s">
        <v>566</v>
      </c>
      <c r="M12" s="43" t="s">
        <v>567</v>
      </c>
      <c r="N12" s="43" t="s">
        <v>568</v>
      </c>
    </row>
    <row r="13" spans="1:14" s="80" customFormat="1">
      <c r="A13" s="44" t="s">
        <v>142</v>
      </c>
      <c r="B13" s="43" t="str">
        <f>="TXT_Name_"&amp;A13</f>
        <v>TXT_Name_CHA_影山菖蒲</v>
      </c>
      <c r="C13" s="44">
        <v>20</v>
      </c>
      <c r="D13" s="45" t="str">
        <f>="TXT_Identify_"&amp;A13</f>
        <v>TXT_Identify_CHA_影山菖蒲</v>
      </c>
      <c r="E13" s="45" t="s">
        <v>571</v>
      </c>
      <c r="F13" s="45" t="s">
        <v>572</v>
      </c>
      <c r="G13" s="45" t="s">
        <v>573</v>
      </c>
      <c r="H13" s="43" t="s">
        <v>574</v>
      </c>
      <c r="I13" s="43" t="s">
        <v>575</v>
      </c>
      <c r="J13" s="43" t="s">
        <v>576</v>
      </c>
      <c r="K13" s="43" t="s">
        <v>577</v>
      </c>
      <c r="L13" s="43" t="s">
        <v>578</v>
      </c>
      <c r="M13" s="43" t="s">
        <v>579</v>
      </c>
      <c r="N13" s="43" t="s">
        <v>580</v>
      </c>
    </row>
    <row r="14" spans="1:14" s="80" customFormat="1">
      <c r="A14" s="44" t="s">
        <v>297</v>
      </c>
      <c r="B14" s="43" t="str">
        <f>="TXT_Name_"&amp;A14</f>
        <v>TXT_Name_CHA_宫本晴子</v>
      </c>
      <c r="C14" s="44">
        <v>28</v>
      </c>
      <c r="D14" s="45" t="str">
        <f>="TXT_Identify_"&amp;A14</f>
        <v>TXT_Identify_CHA_宫本晴子</v>
      </c>
      <c r="E14" s="45" t="s">
        <v>583</v>
      </c>
      <c r="F14" s="45" t="s">
        <v>584</v>
      </c>
      <c r="G14" s="45" t="s">
        <v>585</v>
      </c>
      <c r="H14" s="43" t="s">
        <v>586</v>
      </c>
      <c r="I14" s="43" t="s">
        <v>587</v>
      </c>
      <c r="J14" s="43" t="s">
        <v>588</v>
      </c>
      <c r="K14" s="43" t="s">
        <v>589</v>
      </c>
      <c r="L14" s="43" t="s">
        <v>590</v>
      </c>
      <c r="M14" s="43" t="s">
        <v>591</v>
      </c>
      <c r="N14" s="43" t="s">
        <v>592</v>
      </c>
    </row>
    <row r="15" spans="1:14" s="80" customFormat="1">
      <c r="A15" s="44" t="s">
        <v>299</v>
      </c>
      <c r="B15" s="43" t="str">
        <f>="TXT_Name_"&amp;A15</f>
        <v>TXT_Name_CHA_神代雪音</v>
      </c>
      <c r="C15" s="44">
        <v>17</v>
      </c>
      <c r="D15" s="45" t="str">
        <f>="TXT_Identify_"&amp;A15</f>
        <v>TXT_Identify_CHA_神代雪音</v>
      </c>
      <c r="E15" s="45" t="s">
        <v>595</v>
      </c>
      <c r="F15" s="44" t="s">
        <v>596</v>
      </c>
      <c r="G15" s="45" t="s">
        <v>597</v>
      </c>
      <c r="H15" s="43" t="s">
        <v>598</v>
      </c>
      <c r="I15" s="43" t="s">
        <v>599</v>
      </c>
      <c r="J15" s="43" t="s">
        <v>600</v>
      </c>
      <c r="K15" s="43" t="s">
        <v>601</v>
      </c>
      <c r="L15" s="43" t="s">
        <v>602</v>
      </c>
      <c r="M15" s="43" t="s">
        <v>603</v>
      </c>
      <c r="N15" s="43" t="s">
        <v>604</v>
      </c>
    </row>
    <row r="16" spans="1:14" s="80" customFormat="1">
      <c r="A16" s="44" t="s">
        <v>301</v>
      </c>
      <c r="B16" s="43" t="str">
        <f>="TXT_Name_"&amp;A16</f>
        <v>TXT_Name_CHA_蕾娜・莉希特娜瓦</v>
      </c>
      <c r="C16" s="44">
        <v>20</v>
      </c>
      <c r="D16" s="45" t="str">
        <f>="TXT_Identify_"&amp;A16</f>
        <v>TXT_Identify_CHA_蕾娜・莉希特娜瓦</v>
      </c>
      <c r="E16" s="45" t="s">
        <v>607</v>
      </c>
      <c r="F16" s="45" t="s">
        <v>608</v>
      </c>
      <c r="G16" s="45" t="s">
        <v>609</v>
      </c>
      <c r="H16" s="43" t="s">
        <v>610</v>
      </c>
      <c r="I16" s="43" t="s">
        <v>611</v>
      </c>
      <c r="J16" s="43" t="s">
        <v>612</v>
      </c>
      <c r="K16" s="43" t="s">
        <v>613</v>
      </c>
      <c r="L16" s="43" t="s">
        <v>614</v>
      </c>
      <c r="M16" s="43" t="s">
        <v>615</v>
      </c>
      <c r="N16" s="43" t="s">
        <v>616</v>
      </c>
    </row>
    <row r="17" spans="1:4">
      <c r="A17" s="44" t="s">
        <v>617</v>
      </c>
      <c r="B17" s="43" t="str">
        <f>="TXT_Name_"&amp;A17</f>
        <v>TXT_Name_CHA_小偷</v>
      </c>
      <c r="D17" s="45" t="str">
        <f>="TXT_Identify_"&amp;A17</f>
        <v>TXT_Identify_CHA_小偷</v>
      </c>
    </row>
    <row r="18" spans="1:4">
      <c r="A18" s="44" t="s">
        <v>620</v>
      </c>
      <c r="B18" s="43" t="str">
        <f>="TXT_Name_"&amp;A18</f>
        <v>TXT_Name_CHA_警察</v>
      </c>
      <c r="D18" s="45" t="str">
        <f>="TXT_Identify_"&amp;A18</f>
        <v>TXT_Identify_CHA_警察</v>
      </c>
    </row>
  </sheetData>
</worksheet>
</file>

<file path=xl/worksheets/sheet10.xml><?xml version="1.0" encoding="utf-8"?>
<worksheet xmlns="http://schemas.openxmlformats.org/spreadsheetml/2006/main">
  <sheetPr codeName="文本(人物)">
    <tabColor/>
  </sheetPr>
  <dimension ref="D37"/>
  <sheetViews>
    <sheetView showGridLines="1" workbookViewId="0"/>
  </sheetViews>
  <sheetFormatPr baseColWidth="13" defaultRowHeight="18" customHeight="1"/>
  <cols>
    <col min="1" max="1" width="33.043" customWidth="1"/>
    <col min="2" max="2" width="41.8125" customWidth="1"/>
    <col min="3" max="3" width="49.6328" customWidth="1"/>
    <col min="4" max="4" width="67.9844" customWidth="1"/>
  </cols>
  <sheetData>
    <row r="1" spans="1:4">
      <c r="A1" s="4" t="s">
        <v>122</v>
      </c>
      <c r="B1" s="4" t="s">
        <v>115</v>
      </c>
      <c r="C1" s="4" t="s">
        <v>119</v>
      </c>
      <c r="D1" s="4" t="s">
        <v>120</v>
      </c>
    </row>
    <row r="3" spans="1:4" s="78" customFormat="1" ht="15.75" customHeight="1">
      <c r="A3" s="38" t="s">
        <v>623</v>
      </c>
      <c r="B3" s="46" t="s"/>
      <c r="C3" s="46" t="s"/>
      <c r="D3" s="46" t="s"/>
    </row>
    <row r="4" spans="1:4" ht="15.75" customHeight="1">
      <c r="A4" s="47" t="s">
        <v>459</v>
      </c>
      <c r="B4" s="48" t="s">
        <v>624</v>
      </c>
      <c r="C4" s="48" t="s">
        <v>625</v>
      </c>
      <c r="D4" s="48" t="s">
        <v>626</v>
      </c>
    </row>
    <row r="5" spans="1:4" ht="15.75" customHeight="1">
      <c r="A5" s="47" t="s">
        <v>461</v>
      </c>
      <c r="B5" s="49" t="s">
        <v>627</v>
      </c>
      <c r="C5" s="49" t="s">
        <v>628</v>
      </c>
      <c r="D5" s="49" t="s">
        <v>629</v>
      </c>
    </row>
    <row r="6" spans="1:4" ht="15.75" customHeight="1">
      <c r="A6" s="47" t="s">
        <v>473</v>
      </c>
      <c r="B6" s="48" t="s">
        <v>630</v>
      </c>
      <c r="C6" s="48" t="s">
        <v>631</v>
      </c>
      <c r="D6" s="48" t="s">
        <v>632</v>
      </c>
    </row>
    <row r="7" spans="1:4" ht="15.75" customHeight="1">
      <c r="A7" s="47" t="s">
        <v>485</v>
      </c>
      <c r="B7" s="49" t="s">
        <v>633</v>
      </c>
      <c r="C7" s="49" t="s">
        <v>634</v>
      </c>
      <c r="D7" s="49" t="s">
        <v>635</v>
      </c>
    </row>
    <row r="8" spans="1:4" ht="15.75" customHeight="1">
      <c r="A8" s="47" t="s">
        <v>497</v>
      </c>
      <c r="B8" s="48" t="s">
        <v>636</v>
      </c>
      <c r="C8" s="48" t="s">
        <v>637</v>
      </c>
      <c r="D8" s="48" t="s">
        <v>638</v>
      </c>
    </row>
    <row r="9" spans="1:4" ht="15.75" customHeight="1">
      <c r="A9" s="47" t="s">
        <v>509</v>
      </c>
      <c r="B9" s="49" t="s">
        <v>639</v>
      </c>
      <c r="C9" s="49" t="s">
        <v>640</v>
      </c>
      <c r="D9" s="49" t="s">
        <v>641</v>
      </c>
    </row>
    <row r="10" spans="1:4" ht="15.75" customHeight="1">
      <c r="A10" s="47" t="s">
        <v>521</v>
      </c>
      <c r="B10" s="48" t="s">
        <v>642</v>
      </c>
      <c r="C10" s="48" t="s">
        <v>643</v>
      </c>
      <c r="D10" s="48" t="s">
        <v>644</v>
      </c>
    </row>
    <row r="11" spans="1:4" ht="15.75" customHeight="1">
      <c r="A11" s="47" t="s">
        <v>533</v>
      </c>
      <c r="B11" s="49" t="s">
        <v>645</v>
      </c>
      <c r="C11" s="49" t="s">
        <v>646</v>
      </c>
      <c r="D11" s="49" t="s">
        <v>645</v>
      </c>
    </row>
    <row r="12" spans="1:4" ht="15.75" customHeight="1">
      <c r="A12" s="47" t="s">
        <v>545</v>
      </c>
      <c r="B12" s="48" t="s">
        <v>647</v>
      </c>
      <c r="C12" s="48" t="s">
        <v>648</v>
      </c>
      <c r="D12" s="48" t="s">
        <v>647</v>
      </c>
    </row>
    <row r="13" spans="1:4" ht="15.75" customHeight="1">
      <c r="A13" s="47" t="s">
        <v>557</v>
      </c>
      <c r="B13" s="49" t="s">
        <v>649</v>
      </c>
      <c r="C13" s="49" t="s">
        <v>650</v>
      </c>
      <c r="D13" s="49" t="s">
        <v>649</v>
      </c>
    </row>
    <row r="14" spans="1:4" ht="15.75" customHeight="1">
      <c r="A14" s="47" t="s">
        <v>569</v>
      </c>
      <c r="B14" s="48" t="s">
        <v>651</v>
      </c>
      <c r="C14" s="48" t="s">
        <v>652</v>
      </c>
      <c r="D14" s="48" t="s">
        <v>651</v>
      </c>
    </row>
    <row r="15" spans="1:4" ht="15.75" customHeight="1">
      <c r="A15" s="47" t="s">
        <v>581</v>
      </c>
      <c r="B15" s="49" t="s">
        <v>653</v>
      </c>
      <c r="C15" s="49" t="s">
        <v>654</v>
      </c>
      <c r="D15" s="49" t="s">
        <v>655</v>
      </c>
    </row>
    <row r="16" spans="1:4" ht="15.75" customHeight="1">
      <c r="A16" s="47" t="s">
        <v>593</v>
      </c>
      <c r="B16" s="48" t="s">
        <v>656</v>
      </c>
      <c r="C16" s="48" t="s">
        <v>657</v>
      </c>
      <c r="D16" s="48" t="s">
        <v>656</v>
      </c>
    </row>
    <row r="17" spans="1:4" ht="15.75" customHeight="1">
      <c r="A17" s="47" t="s">
        <v>605</v>
      </c>
      <c r="B17" s="49" t="s">
        <v>658</v>
      </c>
      <c r="C17" s="49" t="s">
        <v>659</v>
      </c>
      <c r="D17" s="49" t="s">
        <v>660</v>
      </c>
    </row>
    <row r="18" spans="1:4" ht="15.75" customHeight="1">
      <c r="A18" s="47" t="s">
        <v>618</v>
      </c>
      <c r="B18" s="48" t="s">
        <v>661</v>
      </c>
      <c r="C18" s="48" t="s">
        <v>662</v>
      </c>
      <c r="D18" s="48" t="s">
        <v>663</v>
      </c>
    </row>
    <row r="19" spans="1:4" ht="15.75" customHeight="1">
      <c r="A19" s="47" t="s">
        <v>621</v>
      </c>
      <c r="B19" s="49" t="s">
        <v>664</v>
      </c>
      <c r="C19" s="49" t="s">
        <v>665</v>
      </c>
      <c r="D19" s="49" t="s">
        <v>664</v>
      </c>
    </row>
    <row r="20" spans="2:4" ht="15.75" customHeight="1">
      <c r="B20" s="50" t="s"/>
      <c r="C20" s="50" t="s"/>
      <c r="D20" s="50" t="s"/>
    </row>
    <row r="21" spans="1:4" s="77" customFormat="1" ht="15.75" customHeight="1">
      <c r="A21" s="36" t="s">
        <v>666</v>
      </c>
      <c r="B21" s="46" t="s"/>
      <c r="C21" s="46" t="s"/>
      <c r="D21" s="46" t="s"/>
    </row>
    <row r="22" spans="1:4" ht="15.75" customHeight="1">
      <c r="A22" s="4" t="s">
        <v>460</v>
      </c>
      <c r="B22" s="48" t="s">
        <v>667</v>
      </c>
      <c r="C22" s="48" t="s">
        <v>668</v>
      </c>
      <c r="D22" s="48" t="s">
        <v>669</v>
      </c>
    </row>
    <row r="23" spans="1:4" ht="15.75" customHeight="1">
      <c r="A23" s="51" t="s">
        <v>462</v>
      </c>
      <c r="B23" s="49" t="s">
        <v>670</v>
      </c>
      <c r="C23" s="49" t="s">
        <v>671</v>
      </c>
      <c r="D23" s="49" t="s">
        <v>672</v>
      </c>
    </row>
    <row r="24" spans="1:4" ht="15.75" customHeight="1">
      <c r="A24" s="51" t="s">
        <v>474</v>
      </c>
      <c r="B24" s="48" t="s">
        <v>673</v>
      </c>
      <c r="C24" s="48" t="s">
        <v>674</v>
      </c>
      <c r="D24" s="48" t="s">
        <v>675</v>
      </c>
    </row>
    <row r="25" spans="1:4" ht="15.75" customHeight="1">
      <c r="A25" s="51" t="s">
        <v>486</v>
      </c>
      <c r="B25" s="49" t="s">
        <v>676</v>
      </c>
      <c r="C25" s="49" t="s">
        <v>677</v>
      </c>
      <c r="D25" s="49" t="s">
        <v>678</v>
      </c>
    </row>
    <row r="26" spans="1:4" ht="15.75" customHeight="1">
      <c r="A26" s="51" t="s">
        <v>498</v>
      </c>
      <c r="B26" s="48" t="s">
        <v>679</v>
      </c>
      <c r="C26" s="48" t="s">
        <v>680</v>
      </c>
      <c r="D26" s="48" t="s">
        <v>681</v>
      </c>
    </row>
    <row r="27" spans="1:4" ht="15.75" customHeight="1">
      <c r="A27" s="51" t="s">
        <v>510</v>
      </c>
      <c r="B27" s="49" t="s">
        <v>682</v>
      </c>
      <c r="C27" s="49" t="s">
        <v>683</v>
      </c>
      <c r="D27" s="49" t="s">
        <v>684</v>
      </c>
    </row>
    <row r="28" spans="1:4" ht="15.75" customHeight="1">
      <c r="A28" s="51" t="s">
        <v>522</v>
      </c>
      <c r="B28" s="48" t="s">
        <v>685</v>
      </c>
      <c r="C28" s="48" t="s">
        <v>686</v>
      </c>
      <c r="D28" s="48" t="s">
        <v>687</v>
      </c>
    </row>
    <row r="29" spans="1:4" ht="15.75" customHeight="1">
      <c r="A29" s="4" t="s">
        <v>534</v>
      </c>
      <c r="B29" s="49" t="s">
        <v>688</v>
      </c>
      <c r="C29" s="49" t="s">
        <v>689</v>
      </c>
      <c r="D29" s="49" t="s">
        <v>690</v>
      </c>
    </row>
    <row r="30" spans="1:4" ht="15.75" customHeight="1">
      <c r="A30" s="4" t="s">
        <v>546</v>
      </c>
      <c r="B30" s="48" t="s">
        <v>691</v>
      </c>
      <c r="C30" s="48" t="s">
        <v>692</v>
      </c>
      <c r="D30" s="48" t="s">
        <v>693</v>
      </c>
    </row>
    <row r="31" spans="1:4" ht="15.75" customHeight="1">
      <c r="A31" s="4" t="s">
        <v>558</v>
      </c>
      <c r="B31" s="49" t="s">
        <v>694</v>
      </c>
      <c r="C31" s="49" t="s">
        <v>695</v>
      </c>
      <c r="D31" s="49" t="s">
        <v>696</v>
      </c>
    </row>
    <row r="32" spans="1:4" ht="15.75" customHeight="1">
      <c r="A32" s="4" t="s">
        <v>570</v>
      </c>
      <c r="B32" s="48" t="s">
        <v>697</v>
      </c>
      <c r="C32" s="48" t="s">
        <v>698</v>
      </c>
      <c r="D32" s="48" t="s">
        <v>699</v>
      </c>
    </row>
    <row r="33" spans="1:4" ht="15.75" customHeight="1">
      <c r="A33" s="4" t="s">
        <v>582</v>
      </c>
      <c r="B33" s="49" t="s">
        <v>700</v>
      </c>
      <c r="C33" s="49" t="s">
        <v>701</v>
      </c>
      <c r="D33" s="49" t="s">
        <v>702</v>
      </c>
    </row>
    <row r="34" spans="1:4" ht="15.75" customHeight="1">
      <c r="A34" s="4" t="s">
        <v>594</v>
      </c>
      <c r="B34" s="48" t="s">
        <v>703</v>
      </c>
      <c r="C34" s="48" t="s">
        <v>704</v>
      </c>
      <c r="D34" s="48" t="s">
        <v>705</v>
      </c>
    </row>
    <row r="35" spans="1:4" ht="15.75" customHeight="1">
      <c r="A35" s="4" t="s">
        <v>606</v>
      </c>
      <c r="B35" s="49" t="s">
        <v>706</v>
      </c>
      <c r="C35" s="49" t="s">
        <v>707</v>
      </c>
      <c r="D35" s="49" t="s">
        <v>708</v>
      </c>
    </row>
    <row r="36" spans="1:4" ht="15.75" customHeight="1">
      <c r="A36" s="4" t="s">
        <v>619</v>
      </c>
      <c r="B36" s="48" t="s">
        <v>661</v>
      </c>
      <c r="C36" s="48" t="s">
        <v>662</v>
      </c>
      <c r="D36" s="48" t="s">
        <v>663</v>
      </c>
    </row>
    <row r="37" spans="1:4" ht="15.75" customHeight="1">
      <c r="A37" s="4" t="s">
        <v>622</v>
      </c>
      <c r="B37" s="49" t="s">
        <v>664</v>
      </c>
      <c r="C37" s="49" t="s">
        <v>665</v>
      </c>
      <c r="D37" s="49" t="s">
        <v>664</v>
      </c>
    </row>
  </sheetData>
</worksheet>
</file>

<file path=xl/worksheets/sheet11.xml><?xml version="1.0" encoding="utf-8"?>
<worksheet xmlns="http://schemas.openxmlformats.org/spreadsheetml/2006/main">
  <sheetPr codeName="立绘">
    <tabColor/>
  </sheetPr>
  <dimension ref="G200"/>
  <sheetViews>
    <sheetView showGridLines="1" workbookViewId="0"/>
  </sheetViews>
  <sheetFormatPr baseColWidth="13" defaultRowHeight="18" customHeight="1"/>
  <cols>
    <col min="1" max="1" width="40.6016" style="73" customWidth="1"/>
    <col min="2" max="2" width="15.5117" style="73" customWidth="1"/>
    <col min="3" max="3" width="34.1211" style="73" customWidth="1"/>
    <col min="4" max="4" width="36.1523" style="75" customWidth="1"/>
    <col min="5" max="5" width="29.9414" style="75" customWidth="1"/>
    <col min="6" max="6" width="82.9531" style="75" customWidth="1"/>
    <col min="7" max="7" width="122.473" style="75" customWidth="1"/>
  </cols>
  <sheetData>
    <row r="1" spans="1:7">
      <c r="A1" s="8" t="s"/>
      <c r="B1" s="8" t="s">
        <v>709</v>
      </c>
      <c r="C1" s="8" t="s">
        <v>445</v>
      </c>
      <c r="D1" s="6" t="s">
        <v>710</v>
      </c>
      <c r="E1" s="6" t="s">
        <v>711</v>
      </c>
      <c r="F1" s="6" t="s">
        <v>712</v>
      </c>
      <c r="G1" s="6" t="s">
        <v>713</v>
      </c>
    </row>
    <row r="2" spans="1:7">
      <c r="A2" s="8" t="s">
        <v>714</v>
      </c>
      <c r="B2" s="20" t="s">
        <v>715</v>
      </c>
      <c r="C2" s="8" t="s">
        <v>716</v>
      </c>
      <c r="D2" s="6" t="str">
        <f>="T_"&amp;A2</f>
        <v>T_CHA_1010101</v>
      </c>
      <c r="E2" s="6" t="str">
        <f>=_xlfn.SWITCH(B2,"","","人物立绘","Character/Dialogue/","人物头像","Character/Head/","图标","Icon/","地图","Map/","对话背景","Background/")</f>
        <v>Character/Dialogue/</v>
      </c>
      <c r="F2" s="6" t="str">
        <f>="/Script/Engine.Texture2D'/Game/GameContent/Asset/Image/"&amp;E2</f>
        <v>/Script/Engine.Texture2D'/Game/GameContent/Asset/Image/Character/Dialogue/</v>
      </c>
      <c r="G2" s="6" t="str">
        <f>=F2&amp;D2&amp;"."&amp;D2&amp;"'"</f>
        <v>/Script/Engine.Texture2D'/Game/GameContent/Asset/Image/Character/Dialogue/T_CHA_1010101.T_CHA_1010101'</v>
      </c>
    </row>
    <row r="3" spans="1:7">
      <c r="A3" s="8" t="s">
        <v>721</v>
      </c>
      <c r="B3" s="20" t="s">
        <v>87</v>
      </c>
      <c r="C3" s="8" t="s">
        <v>722</v>
      </c>
      <c r="D3" s="6" t="str">
        <f>="T_"&amp;A3</f>
        <v>T_SCE_City_Night</v>
      </c>
      <c r="E3" s="6" t="str">
        <f>=_xlfn.SWITCH(B3,"","","人物立绘","Character/Dialogue/","人物头像","Character/Head/","图标","Icon/","地图","Map/","对话背景","Background/")</f>
        <v>Map/</v>
      </c>
      <c r="F3" s="6" t="str">
        <f>="/Script/Engine.Texture2D'/Game/GameContent/Asset/Image/"&amp;E3</f>
        <v>/Script/Engine.Texture2D'/Game/GameContent/Asset/Image/Map/</v>
      </c>
      <c r="G3" s="6" t="str">
        <f>=F3&amp;D3&amp;"."&amp;D3&amp;"'"</f>
        <v>/Script/Engine.Texture2D'/Game/GameContent/Asset/Image/Map/T_SCE_City_Night.T_SCE_City_Night'</v>
      </c>
    </row>
    <row r="4" spans="1:7">
      <c r="A4" s="8" t="s">
        <v>727</v>
      </c>
      <c r="B4" s="20" t="s">
        <v>87</v>
      </c>
      <c r="C4" s="8" t="s">
        <v>728</v>
      </c>
      <c r="D4" s="6" t="str">
        <f>="T_"&amp;A4</f>
        <v>T_SCE_Home_Bathroom_Day</v>
      </c>
      <c r="E4" s="6" t="str">
        <f>=_xlfn.SWITCH(B4,"","","人物立绘","Character/Dialogue/","人物头像","Character/Head/","图标","Icon/","地图","Map/","对话背景","Background/")</f>
        <v>Map/</v>
      </c>
      <c r="F4" s="6" t="str">
        <f>="/Script/Engine.Texture2D'/Game/GameContent/Asset/Image/"&amp;E4</f>
        <v>/Script/Engine.Texture2D'/Game/GameContent/Asset/Image/Map/</v>
      </c>
      <c r="G4" s="6" t="str">
        <f>=F4&amp;D4&amp;"."&amp;D4&amp;"'"</f>
        <v>/Script/Engine.Texture2D'/Game/GameContent/Asset/Image/Map/T_SCE_Home_Bathroom_Day.T_SCE_Home_Bathroom_Day'</v>
      </c>
    </row>
    <row r="5" spans="1:7">
      <c r="A5" s="8" t="s">
        <v>731</v>
      </c>
      <c r="B5" s="20" t="s">
        <v>732</v>
      </c>
      <c r="C5" s="8" t="s">
        <v>733</v>
      </c>
      <c r="D5" s="6" t="str">
        <f>="T_"&amp;A5</f>
        <v>T_DIABG_CheZhanZhanTai</v>
      </c>
      <c r="E5" s="6" t="str">
        <f>=_xlfn.SWITCH(B5,"","","人物立绘","Character/Dialogue/","人物头像","Character/Head/","图标","Icon/","地图","Map/","对话背景","Background/")</f>
        <v>Background/</v>
      </c>
      <c r="F5" s="6" t="str">
        <f>="/Script/Engine.Texture2D'/Game/GameContent/Asset/Image/"&amp;E5</f>
        <v>/Script/Engine.Texture2D'/Game/GameContent/Asset/Image/Background/</v>
      </c>
      <c r="G5" s="6" t="str">
        <f>=F5&amp;D5&amp;"."&amp;D5&amp;"'"</f>
        <v>/Script/Engine.Texture2D'/Game/GameContent/Asset/Image/Background/T_DIABG_CheZhanZhanTai.T_DIABG_CheZhanZhanTai'</v>
      </c>
    </row>
    <row r="6" spans="1:7">
      <c r="A6" s="8" t="s">
        <v>738</v>
      </c>
      <c r="B6" s="20" t="s">
        <v>87</v>
      </c>
      <c r="C6" s="8" t="s">
        <v>739</v>
      </c>
      <c r="D6" s="6" t="str">
        <f>="T_"&amp;A6</f>
        <v>T_SCE_Home_001</v>
      </c>
      <c r="E6" s="6" t="str">
        <f>=_xlfn.SWITCH(B6,"","","人物立绘","Character/Dialogue/","人物头像","Character/Head/","图标","Icon/","地图","Map/","对话背景","Background/")</f>
        <v>Map/</v>
      </c>
      <c r="F6" s="6" t="str">
        <f>="/Script/Engine.Texture2D'/Game/GameContent/Asset/Image/"&amp;E6</f>
        <v>/Script/Engine.Texture2D'/Game/GameContent/Asset/Image/Map/</v>
      </c>
      <c r="G6" s="6" t="str">
        <f>=F6&amp;D6&amp;"."&amp;D6&amp;"'"</f>
        <v>/Script/Engine.Texture2D'/Game/GameContent/Asset/Image/Map/T_SCE_Home_001.T_SCE_Home_001'</v>
      </c>
    </row>
    <row r="7" spans="1:7">
      <c r="A7" s="8" t="s">
        <v>742</v>
      </c>
      <c r="B7" s="20" t="s">
        <v>87</v>
      </c>
      <c r="C7" s="8" t="s">
        <v>739</v>
      </c>
      <c r="D7" s="6" t="str">
        <f>="T_"&amp;A7</f>
        <v>T_SCE_Home_002</v>
      </c>
      <c r="E7" s="6" t="str">
        <f>=_xlfn.SWITCH(B7,"","","人物立绘","Character/Dialogue/","人物头像","Character/Head/","图标","Icon/","地图","Map/","对话背景","Background/")</f>
        <v>Map/</v>
      </c>
      <c r="F7" s="6" t="str">
        <f>="/Script/Engine.Texture2D'/Game/GameContent/Asset/Image/"&amp;E7</f>
        <v>/Script/Engine.Texture2D'/Game/GameContent/Asset/Image/Map/</v>
      </c>
      <c r="G7" s="6" t="str">
        <f>=F7&amp;D7&amp;"."&amp;D7&amp;"'"</f>
        <v>/Script/Engine.Texture2D'/Game/GameContent/Asset/Image/Map/T_SCE_Home_002.T_SCE_Home_002'</v>
      </c>
    </row>
    <row r="8" spans="1:7">
      <c r="A8" s="8" t="s">
        <v>745</v>
      </c>
      <c r="B8" s="20" t="s">
        <v>87</v>
      </c>
      <c r="C8" s="8" t="s">
        <v>739</v>
      </c>
      <c r="D8" s="6" t="str">
        <f>="T_"&amp;A8</f>
        <v>T_SCE_Home_003</v>
      </c>
      <c r="E8" s="6" t="str">
        <f>=_xlfn.SWITCH(B8,"","","人物立绘","Character/Dialogue/","人物头像","Character/Head/","图标","Icon/","地图","Map/","对话背景","Background/")</f>
        <v>Map/</v>
      </c>
      <c r="F8" s="6" t="str">
        <f>="/Script/Engine.Texture2D'/Game/GameContent/Asset/Image/"&amp;E8</f>
        <v>/Script/Engine.Texture2D'/Game/GameContent/Asset/Image/Map/</v>
      </c>
      <c r="G8" s="6" t="str">
        <f>=F8&amp;D8&amp;"."&amp;D8&amp;"'"</f>
        <v>/Script/Engine.Texture2D'/Game/GameContent/Asset/Image/Map/T_SCE_Home_003.T_SCE_Home_003'</v>
      </c>
    </row>
    <row r="9" spans="1:7">
      <c r="A9" s="8" t="s">
        <v>748</v>
      </c>
      <c r="B9" s="20" t="s">
        <v>87</v>
      </c>
      <c r="C9" s="8" t="s">
        <v>739</v>
      </c>
      <c r="D9" s="6" t="str">
        <f>="T_"&amp;A9</f>
        <v>T_SCE_Home_004</v>
      </c>
      <c r="E9" s="6" t="str">
        <f>=_xlfn.SWITCH(B9,"","","人物立绘","Character/Dialogue/","人物头像","Character/Head/","图标","Icon/","地图","Map/","对话背景","Background/")</f>
        <v>Map/</v>
      </c>
      <c r="F9" s="6" t="str">
        <f>="/Script/Engine.Texture2D'/Game/GameContent/Asset/Image/"&amp;E9</f>
        <v>/Script/Engine.Texture2D'/Game/GameContent/Asset/Image/Map/</v>
      </c>
      <c r="G9" s="6" t="str">
        <f>=F9&amp;D9&amp;"."&amp;D9&amp;"'"</f>
        <v>/Script/Engine.Texture2D'/Game/GameContent/Asset/Image/Map/T_SCE_Home_004.T_SCE_Home_004'</v>
      </c>
    </row>
    <row r="10" spans="1:7">
      <c r="A10" s="8" t="s">
        <v>751</v>
      </c>
      <c r="B10" s="20" t="s">
        <v>87</v>
      </c>
      <c r="C10" s="8" t="s">
        <v>739</v>
      </c>
      <c r="D10" s="6" t="str">
        <f>="T_"&amp;A10</f>
        <v>T_SCE_Home_005</v>
      </c>
      <c r="E10" s="6" t="str">
        <f>=_xlfn.SWITCH(B10,"","","人物立绘","Character/Dialogue/","人物头像","Character/Head/","图标","Icon/","地图","Map/","对话背景","Background/")</f>
        <v>Map/</v>
      </c>
      <c r="F10" s="6" t="str">
        <f>="/Script/Engine.Texture2D'/Game/GameContent/Asset/Image/"&amp;E10</f>
        <v>/Script/Engine.Texture2D'/Game/GameContent/Asset/Image/Map/</v>
      </c>
      <c r="G10" s="6" t="str">
        <f>=F10&amp;D10&amp;"."&amp;D10&amp;"'"</f>
        <v>/Script/Engine.Texture2D'/Game/GameContent/Asset/Image/Map/T_SCE_Home_005.T_SCE_Home_005'</v>
      </c>
    </row>
    <row r="11" spans="1:7">
      <c r="A11" s="8" t="s">
        <v>754</v>
      </c>
      <c r="B11" s="20" t="s">
        <v>87</v>
      </c>
      <c r="C11" s="8" t="s">
        <v>739</v>
      </c>
      <c r="D11" s="6" t="str">
        <f>="T_"&amp;A11</f>
        <v>T_SCE_Home_006</v>
      </c>
      <c r="E11" s="6" t="str">
        <f>=_xlfn.SWITCH(B11,"","","人物立绘","Character/Dialogue/","人物头像","Character/Head/","图标","Icon/","地图","Map/","对话背景","Background/")</f>
        <v>Map/</v>
      </c>
      <c r="F11" s="6" t="str">
        <f>="/Script/Engine.Texture2D'/Game/GameContent/Asset/Image/"&amp;E11</f>
        <v>/Script/Engine.Texture2D'/Game/GameContent/Asset/Image/Map/</v>
      </c>
      <c r="G11" s="6" t="str">
        <f>=F11&amp;D11&amp;"."&amp;D11&amp;"'"</f>
        <v>/Script/Engine.Texture2D'/Game/GameContent/Asset/Image/Map/T_SCE_Home_006.T_SCE_Home_006'</v>
      </c>
    </row>
    <row r="12" spans="1:7">
      <c r="A12" s="8" t="s">
        <v>757</v>
      </c>
      <c r="B12" s="20" t="s">
        <v>87</v>
      </c>
      <c r="C12" s="8" t="s">
        <v>739</v>
      </c>
      <c r="D12" s="6" t="str">
        <f>="T_"&amp;A12</f>
        <v>T_SCE_Home_007</v>
      </c>
      <c r="E12" s="6" t="str">
        <f>=_xlfn.SWITCH(B12,"","","人物立绘","Character/Dialogue/","人物头像","Character/Head/","图标","Icon/","地图","Map/","对话背景","Background/")</f>
        <v>Map/</v>
      </c>
      <c r="F12" s="6" t="str">
        <f>="/Script/Engine.Texture2D'/Game/GameContent/Asset/Image/"&amp;E12</f>
        <v>/Script/Engine.Texture2D'/Game/GameContent/Asset/Image/Map/</v>
      </c>
      <c r="G12" s="6" t="str">
        <f>=F12&amp;D12&amp;"."&amp;D12&amp;"'"</f>
        <v>/Script/Engine.Texture2D'/Game/GameContent/Asset/Image/Map/T_SCE_Home_007.T_SCE_Home_007'</v>
      </c>
    </row>
    <row r="13" spans="1:7">
      <c r="A13" s="8" t="s">
        <v>760</v>
      </c>
      <c r="B13" s="20" t="s">
        <v>87</v>
      </c>
      <c r="C13" s="8" t="s">
        <v>739</v>
      </c>
      <c r="D13" s="6" t="str">
        <f>="T_"&amp;A13</f>
        <v>T_SCE_Home_008</v>
      </c>
      <c r="E13" s="6" t="str">
        <f>=_xlfn.SWITCH(B13,"","","人物立绘","Character/Dialogue/","人物头像","Character/Head/","图标","Icon/","地图","Map/","对话背景","Background/")</f>
        <v>Map/</v>
      </c>
      <c r="F13" s="6" t="str">
        <f>="/Script/Engine.Texture2D'/Game/GameContent/Asset/Image/"&amp;E13</f>
        <v>/Script/Engine.Texture2D'/Game/GameContent/Asset/Image/Map/</v>
      </c>
      <c r="G13" s="6" t="str">
        <f>=F13&amp;D13&amp;"."&amp;D13&amp;"'"</f>
        <v>/Script/Engine.Texture2D'/Game/GameContent/Asset/Image/Map/T_SCE_Home_008.T_SCE_Home_008'</v>
      </c>
    </row>
    <row r="14" spans="1:7">
      <c r="A14" s="8" t="s">
        <v>763</v>
      </c>
      <c r="B14" s="20" t="s">
        <v>87</v>
      </c>
      <c r="C14" s="8" t="s">
        <v>739</v>
      </c>
      <c r="D14" s="6" t="str">
        <f>="T_"&amp;A14</f>
        <v>T_SCE_Home_009</v>
      </c>
      <c r="E14" s="6" t="str">
        <f>=_xlfn.SWITCH(B14,"","","人物立绘","Character/Dialogue/","人物头像","Character/Head/","图标","Icon/","地图","Map/","对话背景","Background/")</f>
        <v>Map/</v>
      </c>
      <c r="F14" s="6" t="str">
        <f>="/Script/Engine.Texture2D'/Game/GameContent/Asset/Image/"&amp;E14</f>
        <v>/Script/Engine.Texture2D'/Game/GameContent/Asset/Image/Map/</v>
      </c>
      <c r="G14" s="6" t="str">
        <f>=F14&amp;D14&amp;"."&amp;D14&amp;"'"</f>
        <v>/Script/Engine.Texture2D'/Game/GameContent/Asset/Image/Map/T_SCE_Home_009.T_SCE_Home_009'</v>
      </c>
    </row>
    <row r="15" spans="1:7">
      <c r="A15" s="8" t="s">
        <v>342</v>
      </c>
      <c r="B15" s="20" t="s">
        <v>766</v>
      </c>
      <c r="C15" s="8" t="s">
        <v>767</v>
      </c>
      <c r="D15" s="6" t="str">
        <f>="T_"&amp;A15</f>
        <v>T_Icon_Arrow</v>
      </c>
      <c r="E15" s="6" t="str">
        <f>=_xlfn.SWITCH(B15,"","","人物立绘","Character/Dialogue/","人物头像","Character/Head/","图标","Icon/","地图","Map/","对话背景","Background/")</f>
        <v>Icon/</v>
      </c>
      <c r="F15" s="6" t="str">
        <f>="/Script/Engine.Texture2D'/Game/GameContent/Asset/Image/"&amp;E15</f>
        <v>/Script/Engine.Texture2D'/Game/GameContent/Asset/Image/Icon/</v>
      </c>
      <c r="G15" s="6" t="str">
        <f>=F15&amp;D15&amp;"."&amp;D15&amp;"'"</f>
        <v>/Script/Engine.Texture2D'/Game/GameContent/Asset/Image/Icon/T_Icon_Arrow.T_Icon_Arrow'</v>
      </c>
    </row>
    <row r="16" spans="1:7">
      <c r="A16" s="8" t="s">
        <v>363</v>
      </c>
      <c r="B16" s="20" t="s">
        <v>766</v>
      </c>
      <c r="C16" s="8" t="s">
        <v>767</v>
      </c>
      <c r="D16" s="6" t="str">
        <f>="T_"&amp;A16</f>
        <v>T_Icon_Heart</v>
      </c>
      <c r="E16" s="6" t="str">
        <f>=_xlfn.SWITCH(B16,"","","人物立绘","Character/Dialogue/","人物头像","Character/Head/","图标","Icon/","地图","Map/","对话背景","Background/")</f>
        <v>Icon/</v>
      </c>
      <c r="F16" s="6" t="str">
        <f>="/Script/Engine.Texture2D'/Game/GameContent/Asset/Image/"&amp;E16</f>
        <v>/Script/Engine.Texture2D'/Game/GameContent/Asset/Image/Icon/</v>
      </c>
      <c r="G16" s="6" t="str">
        <f>=F16&amp;D16&amp;"."&amp;D16&amp;"'"</f>
        <v>/Script/Engine.Texture2D'/Game/GameContent/Asset/Image/Icon/T_Icon_Heart.T_Icon_Heart'</v>
      </c>
    </row>
    <row r="17" spans="1:7">
      <c r="A17" s="27" t="s">
        <v>774</v>
      </c>
      <c r="B17" s="20" t="s">
        <v>715</v>
      </c>
      <c r="D17" s="6" t="str">
        <f>="T_"&amp;A17</f>
        <v>T_Dia_010101</v>
      </c>
      <c r="E17" s="6" t="str">
        <f>=_xlfn.SWITCH(B17,"","","人物立绘","Character/Dialogue/","人物头像","Character/Head/","图标","Icon/","地图","Map/","对话背景","Background/")</f>
        <v>Character/Dialogue/</v>
      </c>
      <c r="F17" s="6" t="str">
        <f>="/Script/Engine.Texture2D'/Game/GameContent/Asset/Image/"&amp;E17</f>
        <v>/Script/Engine.Texture2D'/Game/GameContent/Asset/Image/Character/Dialogue/</v>
      </c>
      <c r="G17" s="6" t="str">
        <f>=F17&amp;D17&amp;"."&amp;D17&amp;"'"</f>
        <v>/Script/Engine.Texture2D'/Game/GameContent/Asset/Image/Character/Dialogue/T_Dia_010101.T_Dia_010101'</v>
      </c>
    </row>
    <row r="18" spans="1:7">
      <c r="A18" s="27" t="s">
        <v>777</v>
      </c>
      <c r="B18" s="20" t="s">
        <v>715</v>
      </c>
      <c r="D18" s="6" t="str">
        <f>="T_"&amp;A18</f>
        <v>T_Dia_020101</v>
      </c>
      <c r="E18" s="6" t="str">
        <f>=_xlfn.SWITCH(B18,"","","人物立绘","Character/Dialogue/","人物头像","Character/Head/","图标","Icon/","地图","Map/","对话背景","Background/")</f>
        <v>Character/Dialogue/</v>
      </c>
      <c r="F18" s="6" t="str">
        <f>="/Script/Engine.Texture2D'/Game/GameContent/Asset/Image/"&amp;E18</f>
        <v>/Script/Engine.Texture2D'/Game/GameContent/Asset/Image/Character/Dialogue/</v>
      </c>
      <c r="G18" s="6" t="str">
        <f>=F18&amp;D18&amp;"."&amp;D18&amp;"'"</f>
        <v>/Script/Engine.Texture2D'/Game/GameContent/Asset/Image/Character/Dialogue/T_Dia_020101.T_Dia_020101'</v>
      </c>
    </row>
    <row r="19" spans="1:7">
      <c r="A19" s="27" t="s">
        <v>780</v>
      </c>
      <c r="B19" s="20" t="s">
        <v>715</v>
      </c>
      <c r="D19" s="6" t="str">
        <f>="T_"&amp;A19</f>
        <v>T_Dia_030101</v>
      </c>
      <c r="E19" s="6" t="str">
        <f>=_xlfn.SWITCH(B19,"","","人物立绘","Character/Dialogue/","人物头像","Character/Head/","图标","Icon/","地图","Map/","对话背景","Background/")</f>
        <v>Character/Dialogue/</v>
      </c>
      <c r="F19" s="6" t="str">
        <f>="/Script/Engine.Texture2D'/Game/GameContent/Asset/Image/"&amp;E19</f>
        <v>/Script/Engine.Texture2D'/Game/GameContent/Asset/Image/Character/Dialogue/</v>
      </c>
      <c r="G19" s="6" t="str">
        <f>=F19&amp;D19&amp;"."&amp;D19&amp;"'"</f>
        <v>/Script/Engine.Texture2D'/Game/GameContent/Asset/Image/Character/Dialogue/T_Dia_030101.T_Dia_030101'</v>
      </c>
    </row>
    <row r="20" spans="1:7">
      <c r="A20" s="27" t="s">
        <v>783</v>
      </c>
      <c r="B20" s="20" t="s">
        <v>715</v>
      </c>
      <c r="D20" s="6" t="str">
        <f>="T_"&amp;A20</f>
        <v>T_Dia_040101</v>
      </c>
      <c r="E20" s="6" t="str">
        <f>=_xlfn.SWITCH(B20,"","","人物立绘","Character/Dialogue/","人物头像","Character/Head/","图标","Icon/","地图","Map/","对话背景","Background/")</f>
        <v>Character/Dialogue/</v>
      </c>
      <c r="F20" s="6" t="str">
        <f>="/Script/Engine.Texture2D'/Game/GameContent/Asset/Image/"&amp;E20</f>
        <v>/Script/Engine.Texture2D'/Game/GameContent/Asset/Image/Character/Dialogue/</v>
      </c>
      <c r="G20" s="6" t="str">
        <f>=F20&amp;D20&amp;"."&amp;D20&amp;"'"</f>
        <v>/Script/Engine.Texture2D'/Game/GameContent/Asset/Image/Character/Dialogue/T_Dia_040101.T_Dia_040101'</v>
      </c>
    </row>
    <row r="21" spans="1:7">
      <c r="A21" s="27" t="s">
        <v>786</v>
      </c>
      <c r="B21" s="20" t="s">
        <v>715</v>
      </c>
      <c r="D21" s="6" t="str">
        <f>="T_"&amp;A21</f>
        <v>T_Dia_050101</v>
      </c>
      <c r="E21" s="6" t="str">
        <f>=_xlfn.SWITCH(B21,"","","人物立绘","Character/Dialogue/","人物头像","Character/Head/","图标","Icon/","地图","Map/","对话背景","Background/")</f>
        <v>Character/Dialogue/</v>
      </c>
      <c r="F21" s="6" t="str">
        <f>="/Script/Engine.Texture2D'/Game/GameContent/Asset/Image/"&amp;E21</f>
        <v>/Script/Engine.Texture2D'/Game/GameContent/Asset/Image/Character/Dialogue/</v>
      </c>
      <c r="G21" s="6" t="str">
        <f>=F21&amp;D21&amp;"."&amp;D21&amp;"'"</f>
        <v>/Script/Engine.Texture2D'/Game/GameContent/Asset/Image/Character/Dialogue/T_Dia_050101.T_Dia_050101'</v>
      </c>
    </row>
    <row r="22" spans="1:7">
      <c r="A22" s="27" t="s">
        <v>789</v>
      </c>
      <c r="B22" s="20" t="s">
        <v>715</v>
      </c>
      <c r="D22" s="6" t="str">
        <f>="T_"&amp;A22</f>
        <v>T_Dia_060101</v>
      </c>
      <c r="E22" s="6" t="str">
        <f>=_xlfn.SWITCH(B22,"","","人物立绘","Character/Dialogue/","人物头像","Character/Head/","图标","Icon/","地图","Map/","对话背景","Background/")</f>
        <v>Character/Dialogue/</v>
      </c>
      <c r="F22" s="6" t="str">
        <f>="/Script/Engine.Texture2D'/Game/GameContent/Asset/Image/"&amp;E22</f>
        <v>/Script/Engine.Texture2D'/Game/GameContent/Asset/Image/Character/Dialogue/</v>
      </c>
      <c r="G22" s="6" t="str">
        <f>=F22&amp;D22&amp;"."&amp;D22&amp;"'"</f>
        <v>/Script/Engine.Texture2D'/Game/GameContent/Asset/Image/Character/Dialogue/T_Dia_060101.T_Dia_060101'</v>
      </c>
    </row>
    <row r="23" spans="1:7">
      <c r="A23" s="27" t="s">
        <v>792</v>
      </c>
      <c r="B23" s="20" t="s">
        <v>715</v>
      </c>
      <c r="D23" s="6" t="str">
        <f>="T_"&amp;A23</f>
        <v>T_Dia_070101</v>
      </c>
      <c r="E23" s="6" t="str">
        <f>=_xlfn.SWITCH(B23,"","","人物立绘","Character/Dialogue/","人物头像","Character/Head/","图标","Icon/","地图","Map/","对话背景","Background/")</f>
        <v>Character/Dialogue/</v>
      </c>
      <c r="F23" s="6" t="str">
        <f>="/Script/Engine.Texture2D'/Game/GameContent/Asset/Image/"&amp;E23</f>
        <v>/Script/Engine.Texture2D'/Game/GameContent/Asset/Image/Character/Dialogue/</v>
      </c>
      <c r="G23" s="6" t="str">
        <f>=F23&amp;D23&amp;"."&amp;D23&amp;"'"</f>
        <v>/Script/Engine.Texture2D'/Game/GameContent/Asset/Image/Character/Dialogue/T_Dia_070101.T_Dia_070101'</v>
      </c>
    </row>
    <row r="24" spans="1:7">
      <c r="A24" s="27" t="s">
        <v>795</v>
      </c>
      <c r="B24" s="20" t="s">
        <v>715</v>
      </c>
      <c r="D24" s="6" t="str">
        <f>="T_"&amp;A24</f>
        <v>T_Dia_080101</v>
      </c>
      <c r="E24" s="6" t="str">
        <f>=_xlfn.SWITCH(B24,"","","人物立绘","Character/Dialogue/","人物头像","Character/Head/","图标","Icon/","地图","Map/","对话背景","Background/")</f>
        <v>Character/Dialogue/</v>
      </c>
      <c r="F24" s="6" t="str">
        <f>="/Script/Engine.Texture2D'/Game/GameContent/Asset/Image/"&amp;E24</f>
        <v>/Script/Engine.Texture2D'/Game/GameContent/Asset/Image/Character/Dialogue/</v>
      </c>
      <c r="G24" s="6" t="str">
        <f>=F24&amp;D24&amp;"."&amp;D24&amp;"'"</f>
        <v>/Script/Engine.Texture2D'/Game/GameContent/Asset/Image/Character/Dialogue/T_Dia_080101.T_Dia_080101'</v>
      </c>
    </row>
    <row r="25" spans="1:7">
      <c r="A25" s="27" t="s">
        <v>798</v>
      </c>
      <c r="B25" s="20" t="s">
        <v>715</v>
      </c>
      <c r="D25" s="6" t="str">
        <f>="T_"&amp;A25</f>
        <v>T_Dia_090101</v>
      </c>
      <c r="E25" s="6" t="str">
        <f>=_xlfn.SWITCH(B25,"","","人物立绘","Character/Dialogue/","人物头像","Character/Head/","图标","Icon/","地图","Map/","对话背景","Background/")</f>
        <v>Character/Dialogue/</v>
      </c>
      <c r="F25" s="6" t="str">
        <f>="/Script/Engine.Texture2D'/Game/GameContent/Asset/Image/"&amp;E25</f>
        <v>/Script/Engine.Texture2D'/Game/GameContent/Asset/Image/Character/Dialogue/</v>
      </c>
      <c r="G25" s="6" t="str">
        <f>=F25&amp;D25&amp;"."&amp;D25&amp;"'"</f>
        <v>/Script/Engine.Texture2D'/Game/GameContent/Asset/Image/Character/Dialogue/T_Dia_090101.T_Dia_090101'</v>
      </c>
    </row>
    <row r="26" spans="1:7">
      <c r="A26" s="27" t="s">
        <v>801</v>
      </c>
      <c r="B26" s="20" t="s">
        <v>715</v>
      </c>
      <c r="D26" s="6" t="str">
        <f>="T_"&amp;A26</f>
        <v>T_Dia_100101</v>
      </c>
      <c r="E26" s="6" t="str">
        <f>=_xlfn.SWITCH(B26,"","","人物立绘","Character/Dialogue/","人物头像","Character/Head/","图标","Icon/","地图","Map/","对话背景","Background/")</f>
        <v>Character/Dialogue/</v>
      </c>
      <c r="F26" s="6" t="str">
        <f>="/Script/Engine.Texture2D'/Game/GameContent/Asset/Image/"&amp;E26</f>
        <v>/Script/Engine.Texture2D'/Game/GameContent/Asset/Image/Character/Dialogue/</v>
      </c>
      <c r="G26" s="6" t="str">
        <f>=F26&amp;D26&amp;"."&amp;D26&amp;"'"</f>
        <v>/Script/Engine.Texture2D'/Game/GameContent/Asset/Image/Character/Dialogue/T_Dia_100101.T_Dia_100101'</v>
      </c>
    </row>
    <row r="27" spans="1:7">
      <c r="A27" s="27" t="s">
        <v>804</v>
      </c>
      <c r="B27" s="20" t="s">
        <v>715</v>
      </c>
      <c r="D27" s="6" t="str">
        <f>="T_"&amp;A27</f>
        <v>T_Dia_110101</v>
      </c>
      <c r="E27" s="6" t="str">
        <f>=_xlfn.SWITCH(B27,"","","人物立绘","Character/Dialogue/","人物头像","Character/Head/","图标","Icon/","地图","Map/","对话背景","Background/")</f>
        <v>Character/Dialogue/</v>
      </c>
      <c r="F27" s="6" t="str">
        <f>="/Script/Engine.Texture2D'/Game/GameContent/Asset/Image/"&amp;E27</f>
        <v>/Script/Engine.Texture2D'/Game/GameContent/Asset/Image/Character/Dialogue/</v>
      </c>
      <c r="G27" s="6" t="str">
        <f>=F27&amp;D27&amp;"."&amp;D27&amp;"'"</f>
        <v>/Script/Engine.Texture2D'/Game/GameContent/Asset/Image/Character/Dialogue/T_Dia_110101.T_Dia_110101'</v>
      </c>
    </row>
    <row r="28" spans="1:7">
      <c r="A28" s="27" t="s">
        <v>807</v>
      </c>
      <c r="B28" s="20" t="s">
        <v>715</v>
      </c>
      <c r="D28" s="6" t="str">
        <f>="T_"&amp;A28</f>
        <v>T_Dia_120101</v>
      </c>
      <c r="E28" s="6" t="str">
        <f>=_xlfn.SWITCH(B28,"","","人物立绘","Character/Dialogue/","人物头像","Character/Head/","图标","Icon/","地图","Map/","对话背景","Background/")</f>
        <v>Character/Dialogue/</v>
      </c>
      <c r="F28" s="6" t="str">
        <f>="/Script/Engine.Texture2D'/Game/GameContent/Asset/Image/"&amp;E28</f>
        <v>/Script/Engine.Texture2D'/Game/GameContent/Asset/Image/Character/Dialogue/</v>
      </c>
      <c r="G28" s="6" t="str">
        <f>=F28&amp;D28&amp;"."&amp;D28&amp;"'"</f>
        <v>/Script/Engine.Texture2D'/Game/GameContent/Asset/Image/Character/Dialogue/T_Dia_120101.T_Dia_120101'</v>
      </c>
    </row>
    <row r="29" spans="1:7">
      <c r="A29" s="27" t="s">
        <v>810</v>
      </c>
      <c r="B29" s="20" t="s">
        <v>715</v>
      </c>
      <c r="D29" s="6" t="str">
        <f>="T_"&amp;A29</f>
        <v>T_Dia_130101</v>
      </c>
      <c r="E29" s="6" t="str">
        <f>=_xlfn.SWITCH(B29,"","","人物立绘","Character/Dialogue/","人物头像","Character/Head/","图标","Icon/","地图","Map/","对话背景","Background/")</f>
        <v>Character/Dialogue/</v>
      </c>
      <c r="F29" s="6" t="str">
        <f>="/Script/Engine.Texture2D'/Game/GameContent/Asset/Image/"&amp;E29</f>
        <v>/Script/Engine.Texture2D'/Game/GameContent/Asset/Image/Character/Dialogue/</v>
      </c>
      <c r="G29" s="6" t="str">
        <f>=F29&amp;D29&amp;"."&amp;D29&amp;"'"</f>
        <v>/Script/Engine.Texture2D'/Game/GameContent/Asset/Image/Character/Dialogue/T_Dia_130101.T_Dia_130101'</v>
      </c>
    </row>
    <row r="30" spans="1:7">
      <c r="A30" s="27" t="s">
        <v>813</v>
      </c>
      <c r="B30" s="20" t="s">
        <v>715</v>
      </c>
      <c r="D30" s="6" t="str">
        <f>="T_"&amp;A30</f>
        <v>T_Dia_135101</v>
      </c>
      <c r="E30" s="6" t="str">
        <f>=_xlfn.SWITCH(B30,"","","人物立绘","Character/Dialogue/","人物头像","Character/Head/","图标","Icon/","地图","Map/","对话背景","Background/")</f>
        <v>Character/Dialogue/</v>
      </c>
      <c r="F30" s="6" t="str">
        <f>="/Script/Engine.Texture2D'/Game/GameContent/Asset/Image/"&amp;E30</f>
        <v>/Script/Engine.Texture2D'/Game/GameContent/Asset/Image/Character/Dialogue/</v>
      </c>
      <c r="G30" s="6" t="str">
        <f>=F30&amp;D30&amp;"."&amp;D30&amp;"'"</f>
        <v>/Script/Engine.Texture2D'/Game/GameContent/Asset/Image/Character/Dialogue/T_Dia_135101.T_Dia_135101'</v>
      </c>
    </row>
    <row r="31" spans="1:7">
      <c r="A31" s="27" t="s">
        <v>816</v>
      </c>
      <c r="B31" s="20" t="s">
        <v>817</v>
      </c>
      <c r="D31" s="6" t="str">
        <f>="T_"&amp;A31</f>
        <v>T_Head_010</v>
      </c>
      <c r="E31" s="6" t="str">
        <f>=_xlfn.SWITCH(B31,"","","人物立绘","Character/Dialogue/","人物头像","Character/Head/","图标","Icon/","地图","Map/","对话背景","Background/")</f>
        <v>Character/Head/</v>
      </c>
      <c r="F31" s="6" t="str">
        <f>="/Script/Engine.Texture2D'/Game/GameContent/Asset/Image/"&amp;E31</f>
        <v>/Script/Engine.Texture2D'/Game/GameContent/Asset/Image/Character/Head/</v>
      </c>
      <c r="G31" s="6" t="str">
        <f>=F31&amp;D31&amp;"."&amp;D31&amp;"'"</f>
        <v>/Script/Engine.Texture2D'/Game/GameContent/Asset/Image/Character/Head/T_Head_010.T_Head_010'</v>
      </c>
    </row>
    <row r="32" spans="1:7">
      <c r="A32" s="27" t="s">
        <v>822</v>
      </c>
      <c r="B32" s="20" t="s">
        <v>817</v>
      </c>
      <c r="D32" s="6" t="str">
        <f>="T_"&amp;A32</f>
        <v>T_Head_020</v>
      </c>
      <c r="E32" s="6" t="str">
        <f>=_xlfn.SWITCH(B32,"","","人物立绘","Character/Dialogue/","人物头像","Character/Head/","图标","Icon/","地图","Map/","对话背景","Background/")</f>
        <v>Character/Head/</v>
      </c>
      <c r="F32" s="6" t="str">
        <f>="/Script/Engine.Texture2D'/Game/GameContent/Asset/Image/"&amp;E32</f>
        <v>/Script/Engine.Texture2D'/Game/GameContent/Asset/Image/Character/Head/</v>
      </c>
      <c r="G32" s="6" t="str">
        <f>=F32&amp;D32&amp;"."&amp;D32&amp;"'"</f>
        <v>/Script/Engine.Texture2D'/Game/GameContent/Asset/Image/Character/Head/T_Head_020.T_Head_020'</v>
      </c>
    </row>
    <row r="33" spans="1:7">
      <c r="A33" s="27" t="s">
        <v>825</v>
      </c>
      <c r="B33" s="20" t="s">
        <v>817</v>
      </c>
      <c r="D33" s="6" t="str">
        <f>="T_"&amp;A33</f>
        <v>T_Head_030</v>
      </c>
      <c r="E33" s="6" t="str">
        <f>=_xlfn.SWITCH(B33,"","","人物立绘","Character/Dialogue/","人物头像","Character/Head/","图标","Icon/","地图","Map/","对话背景","Background/")</f>
        <v>Character/Head/</v>
      </c>
      <c r="F33" s="6" t="str">
        <f>="/Script/Engine.Texture2D'/Game/GameContent/Asset/Image/"&amp;E33</f>
        <v>/Script/Engine.Texture2D'/Game/GameContent/Asset/Image/Character/Head/</v>
      </c>
      <c r="G33" s="6" t="str">
        <f>=F33&amp;D33&amp;"."&amp;D33&amp;"'"</f>
        <v>/Script/Engine.Texture2D'/Game/GameContent/Asset/Image/Character/Head/T_Head_030.T_Head_030'</v>
      </c>
    </row>
    <row r="34" spans="1:7">
      <c r="A34" s="27" t="s">
        <v>828</v>
      </c>
      <c r="B34" s="20" t="s">
        <v>817</v>
      </c>
      <c r="D34" s="6" t="str">
        <f>="T_"&amp;A34</f>
        <v>T_Head_040</v>
      </c>
      <c r="E34" s="6" t="str">
        <f>=_xlfn.SWITCH(B34,"","","人物立绘","Character/Dialogue/","人物头像","Character/Head/","图标","Icon/","地图","Map/","对话背景","Background/")</f>
        <v>Character/Head/</v>
      </c>
      <c r="F34" s="6" t="str">
        <f>="/Script/Engine.Texture2D'/Game/GameContent/Asset/Image/"&amp;E34</f>
        <v>/Script/Engine.Texture2D'/Game/GameContent/Asset/Image/Character/Head/</v>
      </c>
      <c r="G34" s="6" t="str">
        <f>=F34&amp;D34&amp;"."&amp;D34&amp;"'"</f>
        <v>/Script/Engine.Texture2D'/Game/GameContent/Asset/Image/Character/Head/T_Head_040.T_Head_040'</v>
      </c>
    </row>
    <row r="35" spans="1:7">
      <c r="A35" s="27" t="s">
        <v>831</v>
      </c>
      <c r="B35" s="20" t="s">
        <v>817</v>
      </c>
      <c r="D35" s="6" t="str">
        <f>="T_"&amp;A35</f>
        <v>T_Head_050</v>
      </c>
      <c r="E35" s="6" t="str">
        <f>=_xlfn.SWITCH(B35,"","","人物立绘","Character/Dialogue/","人物头像","Character/Head/","图标","Icon/","地图","Map/","对话背景","Background/")</f>
        <v>Character/Head/</v>
      </c>
      <c r="F35" s="6" t="str">
        <f>="/Script/Engine.Texture2D'/Game/GameContent/Asset/Image/"&amp;E35</f>
        <v>/Script/Engine.Texture2D'/Game/GameContent/Asset/Image/Character/Head/</v>
      </c>
      <c r="G35" s="6" t="str">
        <f>=F35&amp;D35&amp;"."&amp;D35&amp;"'"</f>
        <v>/Script/Engine.Texture2D'/Game/GameContent/Asset/Image/Character/Head/T_Head_050.T_Head_050'</v>
      </c>
    </row>
    <row r="36" spans="1:7">
      <c r="A36" s="27" t="s">
        <v>834</v>
      </c>
      <c r="B36" s="20" t="s">
        <v>817</v>
      </c>
      <c r="D36" s="6" t="str">
        <f>="T_"&amp;A36</f>
        <v>T_Head_060</v>
      </c>
      <c r="E36" s="6" t="str">
        <f>=_xlfn.SWITCH(B36,"","","人物立绘","Character/Dialogue/","人物头像","Character/Head/","图标","Icon/","地图","Map/","对话背景","Background/")</f>
        <v>Character/Head/</v>
      </c>
      <c r="F36" s="6" t="str">
        <f>="/Script/Engine.Texture2D'/Game/GameContent/Asset/Image/"&amp;E36</f>
        <v>/Script/Engine.Texture2D'/Game/GameContent/Asset/Image/Character/Head/</v>
      </c>
      <c r="G36" s="6" t="str">
        <f>=F36&amp;D36&amp;"."&amp;D36&amp;"'"</f>
        <v>/Script/Engine.Texture2D'/Game/GameContent/Asset/Image/Character/Head/T_Head_060.T_Head_060'</v>
      </c>
    </row>
    <row r="37" spans="1:7">
      <c r="A37" s="27" t="s">
        <v>837</v>
      </c>
      <c r="B37" s="20" t="s">
        <v>817</v>
      </c>
      <c r="D37" s="6" t="str">
        <f>="T_"&amp;A37</f>
        <v>T_Head_070</v>
      </c>
      <c r="E37" s="6" t="str">
        <f>=_xlfn.SWITCH(B37,"","","人物立绘","Character/Dialogue/","人物头像","Character/Head/","图标","Icon/","地图","Map/","对话背景","Background/")</f>
        <v>Character/Head/</v>
      </c>
      <c r="F37" s="6" t="str">
        <f>="/Script/Engine.Texture2D'/Game/GameContent/Asset/Image/"&amp;E37</f>
        <v>/Script/Engine.Texture2D'/Game/GameContent/Asset/Image/Character/Head/</v>
      </c>
      <c r="G37" s="6" t="str">
        <f>=F37&amp;D37&amp;"."&amp;D37&amp;"'"</f>
        <v>/Script/Engine.Texture2D'/Game/GameContent/Asset/Image/Character/Head/T_Head_070.T_Head_070'</v>
      </c>
    </row>
    <row r="38" spans="1:7">
      <c r="A38" s="27" t="s">
        <v>840</v>
      </c>
      <c r="B38" s="20" t="s">
        <v>817</v>
      </c>
      <c r="D38" s="6" t="str">
        <f>="T_"&amp;A38</f>
        <v>T_Head_080</v>
      </c>
      <c r="E38" s="6" t="str">
        <f>=_xlfn.SWITCH(B38,"","","人物立绘","Character/Dialogue/","人物头像","Character/Head/","图标","Icon/","地图","Map/","对话背景","Background/")</f>
        <v>Character/Head/</v>
      </c>
      <c r="F38" s="6" t="str">
        <f>="/Script/Engine.Texture2D'/Game/GameContent/Asset/Image/"&amp;E38</f>
        <v>/Script/Engine.Texture2D'/Game/GameContent/Asset/Image/Character/Head/</v>
      </c>
      <c r="G38" s="6" t="str">
        <f>=F38&amp;D38&amp;"."&amp;D38&amp;"'"</f>
        <v>/Script/Engine.Texture2D'/Game/GameContent/Asset/Image/Character/Head/T_Head_080.T_Head_080'</v>
      </c>
    </row>
    <row r="39" spans="1:7">
      <c r="A39" s="27" t="s">
        <v>843</v>
      </c>
      <c r="B39" s="20" t="s">
        <v>817</v>
      </c>
      <c r="D39" s="6" t="str">
        <f>="T_"&amp;A39</f>
        <v>T_Head_090</v>
      </c>
      <c r="E39" s="6" t="str">
        <f>=_xlfn.SWITCH(B39,"","","人物立绘","Character/Dialogue/","人物头像","Character/Head/","图标","Icon/","地图","Map/","对话背景","Background/")</f>
        <v>Character/Head/</v>
      </c>
      <c r="F39" s="6" t="str">
        <f>="/Script/Engine.Texture2D'/Game/GameContent/Asset/Image/"&amp;E39</f>
        <v>/Script/Engine.Texture2D'/Game/GameContent/Asset/Image/Character/Head/</v>
      </c>
      <c r="G39" s="6" t="str">
        <f>=F39&amp;D39&amp;"."&amp;D39&amp;"'"</f>
        <v>/Script/Engine.Texture2D'/Game/GameContent/Asset/Image/Character/Head/T_Head_090.T_Head_090'</v>
      </c>
    </row>
    <row r="40" spans="1:7">
      <c r="A40" s="27" t="s">
        <v>846</v>
      </c>
      <c r="B40" s="20" t="s">
        <v>817</v>
      </c>
      <c r="D40" s="6" t="str">
        <f>="T_"&amp;A40</f>
        <v>T_Head_100</v>
      </c>
      <c r="E40" s="6" t="str">
        <f>=_xlfn.SWITCH(B40,"","","人物立绘","Character/Dialogue/","人物头像","Character/Head/","图标","Icon/","地图","Map/","对话背景","Background/")</f>
        <v>Character/Head/</v>
      </c>
      <c r="F40" s="6" t="str">
        <f>="/Script/Engine.Texture2D'/Game/GameContent/Asset/Image/"&amp;E40</f>
        <v>/Script/Engine.Texture2D'/Game/GameContent/Asset/Image/Character/Head/</v>
      </c>
      <c r="G40" s="6" t="str">
        <f>=F40&amp;D40&amp;"."&amp;D40&amp;"'"</f>
        <v>/Script/Engine.Texture2D'/Game/GameContent/Asset/Image/Character/Head/T_Head_100.T_Head_100'</v>
      </c>
    </row>
    <row r="41" spans="1:7">
      <c r="A41" s="27" t="s">
        <v>849</v>
      </c>
      <c r="B41" s="20" t="s">
        <v>817</v>
      </c>
      <c r="D41" s="6" t="str">
        <f>="T_"&amp;A41</f>
        <v>T_Head_110</v>
      </c>
      <c r="E41" s="6" t="str">
        <f>=_xlfn.SWITCH(B41,"","","人物立绘","Character/Dialogue/","人物头像","Character/Head/","图标","Icon/","地图","Map/","对话背景","Background/")</f>
        <v>Character/Head/</v>
      </c>
      <c r="F41" s="6" t="str">
        <f>="/Script/Engine.Texture2D'/Game/GameContent/Asset/Image/"&amp;E41</f>
        <v>/Script/Engine.Texture2D'/Game/GameContent/Asset/Image/Character/Head/</v>
      </c>
      <c r="G41" s="6" t="str">
        <f>=F41&amp;D41&amp;"."&amp;D41&amp;"'"</f>
        <v>/Script/Engine.Texture2D'/Game/GameContent/Asset/Image/Character/Head/T_Head_110.T_Head_110'</v>
      </c>
    </row>
    <row r="42" spans="1:7">
      <c r="A42" s="27" t="s">
        <v>852</v>
      </c>
      <c r="B42" s="20" t="s">
        <v>817</v>
      </c>
      <c r="D42" s="6" t="str">
        <f>="T_"&amp;A42</f>
        <v>T_Head_120</v>
      </c>
      <c r="E42" s="6" t="str">
        <f>=_xlfn.SWITCH(B42,"","","人物立绘","Character/Dialogue/","人物头像","Character/Head/","图标","Icon/","地图","Map/","对话背景","Background/")</f>
        <v>Character/Head/</v>
      </c>
      <c r="F42" s="6" t="str">
        <f>="/Script/Engine.Texture2D'/Game/GameContent/Asset/Image/"&amp;E42</f>
        <v>/Script/Engine.Texture2D'/Game/GameContent/Asset/Image/Character/Head/</v>
      </c>
      <c r="G42" s="6" t="str">
        <f>=F42&amp;D42&amp;"."&amp;D42&amp;"'"</f>
        <v>/Script/Engine.Texture2D'/Game/GameContent/Asset/Image/Character/Head/T_Head_120.T_Head_120'</v>
      </c>
    </row>
    <row r="43" spans="1:7">
      <c r="A43" s="27" t="s">
        <v>855</v>
      </c>
      <c r="B43" s="20" t="s">
        <v>817</v>
      </c>
      <c r="D43" s="6" t="str">
        <f>="T_"&amp;A43</f>
        <v>T_Head_130</v>
      </c>
      <c r="E43" s="6" t="str">
        <f>=_xlfn.SWITCH(B43,"","","人物立绘","Character/Dialogue/","人物头像","Character/Head/","图标","Icon/","地图","Map/","对话背景","Background/")</f>
        <v>Character/Head/</v>
      </c>
      <c r="F43" s="6" t="str">
        <f>="/Script/Engine.Texture2D'/Game/GameContent/Asset/Image/"&amp;E43</f>
        <v>/Script/Engine.Texture2D'/Game/GameContent/Asset/Image/Character/Head/</v>
      </c>
      <c r="G43" s="6" t="str">
        <f>=F43&amp;D43&amp;"."&amp;D43&amp;"'"</f>
        <v>/Script/Engine.Texture2D'/Game/GameContent/Asset/Image/Character/Head/T_Head_130.T_Head_130'</v>
      </c>
    </row>
    <row r="44" spans="1:7">
      <c r="A44" s="27" t="s">
        <v>858</v>
      </c>
      <c r="B44" s="20" t="s">
        <v>817</v>
      </c>
      <c r="D44" s="6" t="str">
        <f>="T_"&amp;A44</f>
        <v>T_Head_135</v>
      </c>
      <c r="E44" s="6" t="str">
        <f>=_xlfn.SWITCH(B44,"","","人物立绘","Character/Dialogue/","人物头像","Character/Head/","图标","Icon/","地图","Map/","对话背景","Background/")</f>
        <v>Character/Head/</v>
      </c>
      <c r="F44" s="6" t="str">
        <f>="/Script/Engine.Texture2D'/Game/GameContent/Asset/Image/"&amp;E44</f>
        <v>/Script/Engine.Texture2D'/Game/GameContent/Asset/Image/Character/Head/</v>
      </c>
      <c r="G44" s="6" t="str">
        <f>=F44&amp;D44&amp;"."&amp;D44&amp;"'"</f>
        <v>/Script/Engine.Texture2D'/Game/GameContent/Asset/Image/Character/Head/T_Head_135.T_Head_135'</v>
      </c>
    </row>
    <row r="45" spans="1:7">
      <c r="A45" s="8" t="s">
        <v>861</v>
      </c>
      <c r="B45" s="20" t="s">
        <v>715</v>
      </c>
      <c r="D45" s="6" t="str">
        <f>="T_"&amp;A45</f>
        <v>T_Dia_050104</v>
      </c>
      <c r="E45" s="6" t="str">
        <f>=_xlfn.SWITCH(B45,"","","人物立绘","Character/Dialogue/","人物头像","Character/Head/","图标","Icon/","地图","Map/","对话背景","Background/")</f>
        <v>Character/Dialogue/</v>
      </c>
      <c r="F45" s="6" t="str">
        <f>="/Script/Engine.Texture2D'/Game/GameContent/Asset/Image/"&amp;E45</f>
        <v>/Script/Engine.Texture2D'/Game/GameContent/Asset/Image/Character/Dialogue/</v>
      </c>
      <c r="G45" s="6" t="str">
        <f>=F45&amp;D45&amp;"."&amp;D45&amp;"'"</f>
        <v>/Script/Engine.Texture2D'/Game/GameContent/Asset/Image/Character/Dialogue/T_Dia_050104.T_Dia_050104'</v>
      </c>
    </row>
    <row r="46" spans="1:7">
      <c r="A46" s="8" t="s">
        <v>864</v>
      </c>
      <c r="B46" s="20" t="s">
        <v>715</v>
      </c>
      <c r="D46" s="6" t="str">
        <f>="T_"&amp;A46</f>
        <v>T_Dia_050105</v>
      </c>
      <c r="E46" s="6" t="str">
        <f>=_xlfn.SWITCH(B46,"","","人物立绘","Character/Dialogue/","人物头像","Character/Head/","图标","Icon/","地图","Map/","对话背景","Background/")</f>
        <v>Character/Dialogue/</v>
      </c>
      <c r="F46" s="6" t="str">
        <f>="/Script/Engine.Texture2D'/Game/GameContent/Asset/Image/"&amp;E46</f>
        <v>/Script/Engine.Texture2D'/Game/GameContent/Asset/Image/Character/Dialogue/</v>
      </c>
      <c r="G46" s="6" t="str">
        <f>=F46&amp;D46&amp;"."&amp;D46&amp;"'"</f>
        <v>/Script/Engine.Texture2D'/Game/GameContent/Asset/Image/Character/Dialogue/T_Dia_050105.T_Dia_050105'</v>
      </c>
    </row>
    <row r="47" spans="1:7">
      <c r="A47" s="8" t="s">
        <v>867</v>
      </c>
      <c r="B47" s="20" t="s">
        <v>715</v>
      </c>
      <c r="D47" s="6" t="str">
        <f>="T_"&amp;A47</f>
        <v>T_Dia_100102</v>
      </c>
      <c r="E47" s="6" t="str">
        <f>=_xlfn.SWITCH(B47,"","","人物立绘","Character/Dialogue/","人物头像","Character/Head/","图标","Icon/","地图","Map/","对话背景","Background/")</f>
        <v>Character/Dialogue/</v>
      </c>
      <c r="F47" s="6" t="str">
        <f>="/Script/Engine.Texture2D'/Game/GameContent/Asset/Image/"&amp;E47</f>
        <v>/Script/Engine.Texture2D'/Game/GameContent/Asset/Image/Character/Dialogue/</v>
      </c>
      <c r="G47" s="6" t="str">
        <f>=F47&amp;D47&amp;"."&amp;D47&amp;"'"</f>
        <v>/Script/Engine.Texture2D'/Game/GameContent/Asset/Image/Character/Dialogue/T_Dia_100102.T_Dia_100102'</v>
      </c>
    </row>
    <row r="48" spans="1:7">
      <c r="A48" s="8" t="s">
        <v>870</v>
      </c>
      <c r="B48" s="20" t="s">
        <v>715</v>
      </c>
      <c r="D48" s="6" t="str">
        <f>="T_"&amp;A48</f>
        <v>T_Dia_100105</v>
      </c>
      <c r="E48" s="6" t="str">
        <f>=_xlfn.SWITCH(B48,"","","人物立绘","Character/Dialogue/","人物头像","Character/Head/","图标","Icon/","地图","Map/","对话背景","Background/")</f>
        <v>Character/Dialogue/</v>
      </c>
      <c r="F48" s="6" t="str">
        <f>="/Script/Engine.Texture2D'/Game/GameContent/Asset/Image/"&amp;E48</f>
        <v>/Script/Engine.Texture2D'/Game/GameContent/Asset/Image/Character/Dialogue/</v>
      </c>
      <c r="G48" s="6" t="str">
        <f>=F48&amp;D48&amp;"."&amp;D48&amp;"'"</f>
        <v>/Script/Engine.Texture2D'/Game/GameContent/Asset/Image/Character/Dialogue/T_Dia_100105.T_Dia_100105'</v>
      </c>
    </row>
    <row r="49" spans="2:7">
      <c r="B49" s="20" t="s"/>
      <c r="D49" s="6" t="str">
        <f>="T_"&amp;A49</f>
        <v>T_</v>
      </c>
      <c r="E49" s="6" t="str">
        <f>=_xlfn.SWITCH(B49,"","","人物立绘","Character/Dialogue/","人物头像","Character/Head/","图标","Icon/","地图","Map/","对话背景","Background/")</f>
        <v/>
      </c>
      <c r="F49" s="6" t="str">
        <f>="/Script/Engine.Texture2D'/Game/GameContent/Asset/Image/"&amp;E49</f>
        <v>/Script/Engine.Texture2D'/Game/GameContent/Asset/Image/</v>
      </c>
      <c r="G49" s="6" t="str">
        <f>=F49&amp;D49&amp;"."&amp;D49&amp;"'"</f>
        <v>/Script/Engine.Texture2D'/Game/GameContent/Asset/Image/T_.T_'</v>
      </c>
    </row>
    <row r="50" spans="2:7">
      <c r="B50" s="20" t="s"/>
      <c r="D50" s="6" t="str">
        <f>="T_"&amp;A50</f>
        <v>T_</v>
      </c>
      <c r="E50" s="6" t="str">
        <f>=_xlfn.SWITCH(B50,"","","人物立绘","Character/Dialogue/","人物头像","Character/Head/","图标","Icon/","地图","Map/","对话背景","Background/")</f>
        <v/>
      </c>
      <c r="F50" s="6" t="str">
        <f>="/Script/Engine.Texture2D'/Game/GameContent/Asset/Image/"&amp;E50</f>
        <v>/Script/Engine.Texture2D'/Game/GameContent/Asset/Image/</v>
      </c>
      <c r="G50" s="6" t="str">
        <f>=F50&amp;D50&amp;"."&amp;D50&amp;"'"</f>
        <v>/Script/Engine.Texture2D'/Game/GameContent/Asset/Image/T_.T_'</v>
      </c>
    </row>
    <row r="51" spans="2:7">
      <c r="B51" s="20" t="s"/>
      <c r="D51" s="6" t="str">
        <f>="T_"&amp;A51</f>
        <v>T_</v>
      </c>
      <c r="E51" s="6" t="str">
        <f>=_xlfn.SWITCH(B51,"","","人物立绘","Character/Dialogue/","人物头像","Character/Head/","图标","Icon/","地图","Map/","对话背景","Background/")</f>
        <v/>
      </c>
      <c r="F51" s="6" t="str">
        <f>="/Script/Engine.Texture2D'/Game/GameContent/Asset/Image/"&amp;E51</f>
        <v>/Script/Engine.Texture2D'/Game/GameContent/Asset/Image/</v>
      </c>
      <c r="G51" s="6" t="str">
        <f>=F51&amp;D51&amp;"."&amp;D51&amp;"'"</f>
        <v>/Script/Engine.Texture2D'/Game/GameContent/Asset/Image/T_.T_'</v>
      </c>
    </row>
    <row r="52" spans="2:7">
      <c r="B52" s="20" t="s"/>
      <c r="D52" s="6" t="str">
        <f>="T_"&amp;A52</f>
        <v>T_</v>
      </c>
      <c r="E52" s="6" t="str">
        <f>=_xlfn.SWITCH(B52,"","","人物立绘","Character/Dialogue/","人物头像","Character/Head/","图标","Icon/","地图","Map/","对话背景","Background/")</f>
        <v/>
      </c>
      <c r="F52" s="6" t="str">
        <f>="/Script/Engine.Texture2D'/Game/GameContent/Asset/Image/"&amp;E52</f>
        <v>/Script/Engine.Texture2D'/Game/GameContent/Asset/Image/</v>
      </c>
      <c r="G52" s="6" t="str">
        <f>=F52&amp;D52&amp;"."&amp;D52&amp;"'"</f>
        <v>/Script/Engine.Texture2D'/Game/GameContent/Asset/Image/T_.T_'</v>
      </c>
    </row>
    <row r="53" spans="2:7">
      <c r="B53" s="20" t="s"/>
      <c r="D53" s="6" t="str">
        <f>="T_"&amp;A53</f>
        <v>T_</v>
      </c>
      <c r="E53" s="6" t="str">
        <f>=_xlfn.SWITCH(B53,"","","人物立绘","Character/Dialogue/","人物头像","Character/Head/","图标","Icon/","地图","Map/","对话背景","Background/")</f>
        <v/>
      </c>
      <c r="F53" s="6" t="str">
        <f>="/Script/Engine.Texture2D'/Game/GameContent/Asset/Image/"&amp;E53</f>
        <v>/Script/Engine.Texture2D'/Game/GameContent/Asset/Image/</v>
      </c>
      <c r="G53" s="6" t="str">
        <f>=F53&amp;D53&amp;"."&amp;D53&amp;"'"</f>
        <v>/Script/Engine.Texture2D'/Game/GameContent/Asset/Image/T_.T_'</v>
      </c>
    </row>
    <row r="54" spans="2:7">
      <c r="B54" s="20" t="s"/>
      <c r="D54" s="6" t="str">
        <f>="T_"&amp;A54</f>
        <v>T_</v>
      </c>
      <c r="E54" s="6" t="str">
        <f>=_xlfn.SWITCH(B54,"","","人物立绘","Character/Dialogue/","人物头像","Character/Head/","图标","Icon/","地图","Map/","对话背景","Background/")</f>
        <v/>
      </c>
      <c r="F54" s="6" t="str">
        <f>="/Script/Engine.Texture2D'/Game/GameContent/Asset/Image/"&amp;E54</f>
        <v>/Script/Engine.Texture2D'/Game/GameContent/Asset/Image/</v>
      </c>
      <c r="G54" s="6" t="str">
        <f>=F54&amp;D54&amp;"."&amp;D54&amp;"'"</f>
        <v>/Script/Engine.Texture2D'/Game/GameContent/Asset/Image/T_.T_'</v>
      </c>
    </row>
    <row r="55" spans="2:7">
      <c r="B55" s="20" t="s"/>
      <c r="D55" s="6" t="str">
        <f>="T_"&amp;A55</f>
        <v>T_</v>
      </c>
      <c r="E55" s="6" t="str">
        <f>=_xlfn.SWITCH(B55,"","","人物立绘","Character/Dialogue/","人物头像","Character/Head/","图标","Icon/","地图","Map/","对话背景","Background/")</f>
        <v/>
      </c>
      <c r="F55" s="6" t="str">
        <f>="/Script/Engine.Texture2D'/Game/GameContent/Asset/Image/"&amp;E55</f>
        <v>/Script/Engine.Texture2D'/Game/GameContent/Asset/Image/</v>
      </c>
      <c r="G55" s="6" t="str">
        <f>=F55&amp;D55&amp;"."&amp;D55&amp;"'"</f>
        <v>/Script/Engine.Texture2D'/Game/GameContent/Asset/Image/T_.T_'</v>
      </c>
    </row>
    <row r="56" spans="2:7">
      <c r="B56" s="20" t="s"/>
      <c r="D56" s="6" t="str">
        <f>="T_"&amp;A56</f>
        <v>T_</v>
      </c>
      <c r="E56" s="6" t="str">
        <f>=_xlfn.SWITCH(B56,"","","人物立绘","Character/Dialogue/","人物头像","Character/Head/","图标","Icon/","地图","Map/","对话背景","Background/")</f>
        <v/>
      </c>
      <c r="F56" s="6" t="str">
        <f>="/Script/Engine.Texture2D'/Game/GameContent/Asset/Image/"&amp;E56</f>
        <v>/Script/Engine.Texture2D'/Game/GameContent/Asset/Image/</v>
      </c>
      <c r="G56" s="6" t="str">
        <f>=F56&amp;D56&amp;"."&amp;D56&amp;"'"</f>
        <v>/Script/Engine.Texture2D'/Game/GameContent/Asset/Image/T_.T_'</v>
      </c>
    </row>
    <row r="57" spans="2:7">
      <c r="B57" s="20" t="s"/>
      <c r="D57" s="6" t="str">
        <f>="T_"&amp;A57</f>
        <v>T_</v>
      </c>
      <c r="E57" s="6" t="str">
        <f>=_xlfn.SWITCH(B57,"","","人物立绘","Character/Dialogue/","人物头像","Character/Head/","图标","Icon/","地图","Map/","对话背景","Background/")</f>
        <v/>
      </c>
      <c r="F57" s="6" t="str">
        <f>="/Script/Engine.Texture2D'/Game/GameContent/Asset/Image/"&amp;E57</f>
        <v>/Script/Engine.Texture2D'/Game/GameContent/Asset/Image/</v>
      </c>
      <c r="G57" s="6" t="str">
        <f>=F57&amp;D57&amp;"."&amp;D57&amp;"'"</f>
        <v>/Script/Engine.Texture2D'/Game/GameContent/Asset/Image/T_.T_'</v>
      </c>
    </row>
    <row r="58" spans="2:7">
      <c r="B58" s="20" t="s"/>
      <c r="D58" s="6" t="str">
        <f>="T_"&amp;A58</f>
        <v>T_</v>
      </c>
      <c r="E58" s="6" t="str">
        <f>=_xlfn.SWITCH(B58,"","","人物立绘","Character/Dialogue/","人物头像","Character/Head/","图标","Icon/","地图","Map/","对话背景","Background/")</f>
        <v/>
      </c>
      <c r="F58" s="6" t="str">
        <f>="/Script/Engine.Texture2D'/Game/GameContent/Asset/Image/"&amp;E58</f>
        <v>/Script/Engine.Texture2D'/Game/GameContent/Asset/Image/</v>
      </c>
      <c r="G58" s="6" t="str">
        <f>=F58&amp;D58&amp;"."&amp;D58&amp;"'"</f>
        <v>/Script/Engine.Texture2D'/Game/GameContent/Asset/Image/T_.T_'</v>
      </c>
    </row>
    <row r="59" spans="2:7">
      <c r="B59" s="20" t="s"/>
      <c r="D59" s="6" t="str">
        <f>="T_"&amp;A59</f>
        <v>T_</v>
      </c>
      <c r="E59" s="6" t="str">
        <f>=_xlfn.SWITCH(B59,"","","人物立绘","Character/Dialogue/","人物头像","Character/Head/","图标","Icon/","地图","Map/","对话背景","Background/")</f>
        <v/>
      </c>
      <c r="F59" s="6" t="str">
        <f>="/Script/Engine.Texture2D'/Game/GameContent/Asset/Image/"&amp;E59</f>
        <v>/Script/Engine.Texture2D'/Game/GameContent/Asset/Image/</v>
      </c>
      <c r="G59" s="6" t="str">
        <f>=F59&amp;D59&amp;"."&amp;D59&amp;"'"</f>
        <v>/Script/Engine.Texture2D'/Game/GameContent/Asset/Image/T_.T_'</v>
      </c>
    </row>
    <row r="60" spans="2:7">
      <c r="B60" s="20" t="s"/>
      <c r="D60" s="6" t="str">
        <f>="T_"&amp;A60</f>
        <v>T_</v>
      </c>
      <c r="E60" s="6" t="str">
        <f>=_xlfn.SWITCH(B60,"","","人物立绘","Character/Dialogue/","人物头像","Character/Head/","图标","Icon/","地图","Map/","对话背景","Background/")</f>
        <v/>
      </c>
      <c r="F60" s="6" t="str">
        <f>="/Script/Engine.Texture2D'/Game/GameContent/Asset/Image/"&amp;E60</f>
        <v>/Script/Engine.Texture2D'/Game/GameContent/Asset/Image/</v>
      </c>
      <c r="G60" s="6" t="str">
        <f>=F60&amp;D60&amp;"."&amp;D60&amp;"'"</f>
        <v>/Script/Engine.Texture2D'/Game/GameContent/Asset/Image/T_.T_'</v>
      </c>
    </row>
    <row r="61" spans="2:7">
      <c r="B61" s="20" t="s"/>
      <c r="D61" s="6" t="str">
        <f>="T_"&amp;A61</f>
        <v>T_</v>
      </c>
      <c r="E61" s="6" t="str">
        <f>=_xlfn.SWITCH(B61,"","","人物立绘","Character/Dialogue/","人物头像","Character/Head/","图标","Icon/","地图","Map/","对话背景","Background/")</f>
        <v/>
      </c>
      <c r="F61" s="6" t="str">
        <f>="/Script/Engine.Texture2D'/Game/GameContent/Asset/Image/"&amp;E61</f>
        <v>/Script/Engine.Texture2D'/Game/GameContent/Asset/Image/</v>
      </c>
      <c r="G61" s="6" t="str">
        <f>=F61&amp;D61&amp;"."&amp;D61&amp;"'"</f>
        <v>/Script/Engine.Texture2D'/Game/GameContent/Asset/Image/T_.T_'</v>
      </c>
    </row>
    <row r="62" spans="2:7">
      <c r="B62" s="20" t="s"/>
      <c r="D62" s="6" t="str">
        <f>="T_"&amp;A62</f>
        <v>T_</v>
      </c>
      <c r="E62" s="6" t="str">
        <f>=_xlfn.SWITCH(B62,"","","人物立绘","Character/Dialogue/","人物头像","Character/Head/","图标","Icon/","地图","Map/","对话背景","Background/")</f>
        <v/>
      </c>
      <c r="F62" s="6" t="str">
        <f>="/Script/Engine.Texture2D'/Game/GameContent/Asset/Image/"&amp;E62</f>
        <v>/Script/Engine.Texture2D'/Game/GameContent/Asset/Image/</v>
      </c>
      <c r="G62" s="6" t="str">
        <f>=F62&amp;D62&amp;"."&amp;D62&amp;"'"</f>
        <v>/Script/Engine.Texture2D'/Game/GameContent/Asset/Image/T_.T_'</v>
      </c>
    </row>
    <row r="63" spans="2:7">
      <c r="B63" s="20" t="s"/>
      <c r="D63" s="6" t="str">
        <f>="T_"&amp;A63</f>
        <v>T_</v>
      </c>
      <c r="E63" s="6" t="str">
        <f>=_xlfn.SWITCH(B63,"","","人物立绘","Character/Dialogue/","人物头像","Character/Head/","图标","Icon/","地图","Map/","对话背景","Background/")</f>
        <v/>
      </c>
      <c r="F63" s="6" t="str">
        <f>="/Script/Engine.Texture2D'/Game/GameContent/Asset/Image/"&amp;E63</f>
        <v>/Script/Engine.Texture2D'/Game/GameContent/Asset/Image/</v>
      </c>
      <c r="G63" s="6" t="str">
        <f>=F63&amp;D63&amp;"."&amp;D63&amp;"'"</f>
        <v>/Script/Engine.Texture2D'/Game/GameContent/Asset/Image/T_.T_'</v>
      </c>
    </row>
    <row r="64" spans="2:7">
      <c r="B64" s="20" t="s"/>
      <c r="D64" s="6" t="str">
        <f>="T_"&amp;A64</f>
        <v>T_</v>
      </c>
      <c r="E64" s="6" t="str">
        <f>=_xlfn.SWITCH(B64,"","","人物立绘","Character/Dialogue/","人物头像","Character/Head/","图标","Icon/","地图","Map/","对话背景","Background/")</f>
        <v/>
      </c>
      <c r="F64" s="6" t="str">
        <f>="/Script/Engine.Texture2D'/Game/GameContent/Asset/Image/"&amp;E64</f>
        <v>/Script/Engine.Texture2D'/Game/GameContent/Asset/Image/</v>
      </c>
      <c r="G64" s="6" t="str">
        <f>=F64&amp;D64&amp;"."&amp;D64&amp;"'"</f>
        <v>/Script/Engine.Texture2D'/Game/GameContent/Asset/Image/T_.T_'</v>
      </c>
    </row>
    <row r="65" spans="2:7">
      <c r="B65" s="20" t="s"/>
      <c r="D65" s="6" t="str">
        <f>="T_"&amp;A65</f>
        <v>T_</v>
      </c>
      <c r="E65" s="6" t="str">
        <f>=_xlfn.SWITCH(B65,"","","人物立绘","Character/Dialogue/","人物头像","Character/Head/","图标","Icon/","地图","Map/","对话背景","Background/")</f>
        <v/>
      </c>
      <c r="F65" s="6" t="str">
        <f>="/Script/Engine.Texture2D'/Game/GameContent/Asset/Image/"&amp;E65</f>
        <v>/Script/Engine.Texture2D'/Game/GameContent/Asset/Image/</v>
      </c>
      <c r="G65" s="6" t="str">
        <f>=F65&amp;D65&amp;"."&amp;D65&amp;"'"</f>
        <v>/Script/Engine.Texture2D'/Game/GameContent/Asset/Image/T_.T_'</v>
      </c>
    </row>
    <row r="66" spans="2:7">
      <c r="B66" s="20" t="s"/>
      <c r="D66" s="6" t="str">
        <f>="T_"&amp;A66</f>
        <v>T_</v>
      </c>
      <c r="E66" s="6" t="str">
        <f>=_xlfn.SWITCH(B66,"","","人物立绘","Character/Dialogue/","人物头像","Character/Head/","图标","Icon/","地图","Map/","对话背景","Background/")</f>
        <v/>
      </c>
      <c r="F66" s="6" t="str">
        <f>="/Script/Engine.Texture2D'/Game/GameContent/Asset/Image/"&amp;E66</f>
        <v>/Script/Engine.Texture2D'/Game/GameContent/Asset/Image/</v>
      </c>
      <c r="G66" s="6" t="str">
        <f>=F66&amp;D66&amp;"."&amp;D66&amp;"'"</f>
        <v>/Script/Engine.Texture2D'/Game/GameContent/Asset/Image/T_.T_'</v>
      </c>
    </row>
    <row r="67" spans="2:7">
      <c r="B67" s="20" t="s"/>
      <c r="D67" s="6" t="str">
        <f>="T_"&amp;A67</f>
        <v>T_</v>
      </c>
      <c r="E67" s="6" t="str">
        <f>=_xlfn.SWITCH(B67,"","","人物立绘","Character/Dialogue/","人物头像","Character/Head/","图标","Icon/","地图","Map/","对话背景","Background/")</f>
        <v/>
      </c>
      <c r="F67" s="6" t="str">
        <f>="/Script/Engine.Texture2D'/Game/GameContent/Asset/Image/"&amp;E67</f>
        <v>/Script/Engine.Texture2D'/Game/GameContent/Asset/Image/</v>
      </c>
      <c r="G67" s="6" t="str">
        <f>=F67&amp;D67&amp;"."&amp;D67&amp;"'"</f>
        <v>/Script/Engine.Texture2D'/Game/GameContent/Asset/Image/T_.T_'</v>
      </c>
    </row>
    <row r="68" spans="2:7">
      <c r="B68" s="20" t="s"/>
      <c r="D68" s="6" t="str">
        <f>="T_"&amp;A68</f>
        <v>T_</v>
      </c>
      <c r="E68" s="6" t="str">
        <f>=_xlfn.SWITCH(B68,"","","人物立绘","Character/Dialogue/","人物头像","Character/Head/","图标","Icon/","地图","Map/","对话背景","Background/")</f>
        <v/>
      </c>
      <c r="F68" s="6" t="str">
        <f>="/Script/Engine.Texture2D'/Game/GameContent/Asset/Image/"&amp;E68</f>
        <v>/Script/Engine.Texture2D'/Game/GameContent/Asset/Image/</v>
      </c>
      <c r="G68" s="6" t="str">
        <f>=F68&amp;D68&amp;"."&amp;D68&amp;"'"</f>
        <v>/Script/Engine.Texture2D'/Game/GameContent/Asset/Image/T_.T_'</v>
      </c>
    </row>
    <row r="69" spans="2:7">
      <c r="B69" s="20" t="s"/>
      <c r="D69" s="6" t="str">
        <f>="T_"&amp;A69</f>
        <v>T_</v>
      </c>
      <c r="E69" s="6" t="str">
        <f>=_xlfn.SWITCH(B69,"","","人物立绘","Character/Dialogue/","人物头像","Character/Head/","图标","Icon/","地图","Map/","对话背景","Background/")</f>
        <v/>
      </c>
      <c r="F69" s="6" t="str">
        <f>="/Script/Engine.Texture2D'/Game/GameContent/Asset/Image/"&amp;E69</f>
        <v>/Script/Engine.Texture2D'/Game/GameContent/Asset/Image/</v>
      </c>
      <c r="G69" s="6" t="str">
        <f>=F69&amp;D69&amp;"."&amp;D69&amp;"'"</f>
        <v>/Script/Engine.Texture2D'/Game/GameContent/Asset/Image/T_.T_'</v>
      </c>
    </row>
    <row r="70" spans="2:7">
      <c r="B70" s="20" t="s"/>
      <c r="D70" s="6" t="str">
        <f>="T_"&amp;A70</f>
        <v>T_</v>
      </c>
      <c r="E70" s="6" t="str">
        <f>=_xlfn.SWITCH(B70,"","","人物立绘","Character/Dialogue/","人物头像","Character/Head/","图标","Icon/","地图","Map/","对话背景","Background/")</f>
        <v/>
      </c>
      <c r="F70" s="6" t="str">
        <f>="/Script/Engine.Texture2D'/Game/GameContent/Asset/Image/"&amp;E70</f>
        <v>/Script/Engine.Texture2D'/Game/GameContent/Asset/Image/</v>
      </c>
      <c r="G70" s="6" t="str">
        <f>=F70&amp;D70&amp;"."&amp;D70&amp;"'"</f>
        <v>/Script/Engine.Texture2D'/Game/GameContent/Asset/Image/T_.T_'</v>
      </c>
    </row>
    <row r="71" spans="2:7">
      <c r="B71" s="20" t="s"/>
      <c r="D71" s="6" t="str">
        <f>="T_"&amp;A71</f>
        <v>T_</v>
      </c>
      <c r="E71" s="6" t="str">
        <f>=_xlfn.SWITCH(B71,"","","人物立绘","Character/Dialogue/","人物头像","Character/Head/","图标","Icon/","地图","Map/","对话背景","Background/")</f>
        <v/>
      </c>
      <c r="F71" s="6" t="str">
        <f>="/Script/Engine.Texture2D'/Game/GameContent/Asset/Image/"&amp;E71</f>
        <v>/Script/Engine.Texture2D'/Game/GameContent/Asset/Image/</v>
      </c>
      <c r="G71" s="6" t="str">
        <f>=F71&amp;D71&amp;"."&amp;D71&amp;"'"</f>
        <v>/Script/Engine.Texture2D'/Game/GameContent/Asset/Image/T_.T_'</v>
      </c>
    </row>
    <row r="72" spans="2:7">
      <c r="B72" s="20" t="s"/>
      <c r="D72" s="6" t="str">
        <f>="T_"&amp;A72</f>
        <v>T_</v>
      </c>
      <c r="E72" s="6" t="str">
        <f>=_xlfn.SWITCH(B72,"","","人物立绘","Character/Dialogue/","人物头像","Character/Head/","图标","Icon/","地图","Map/","对话背景","Background/")</f>
        <v/>
      </c>
      <c r="F72" s="6" t="str">
        <f>="/Script/Engine.Texture2D'/Game/GameContent/Asset/Image/"&amp;E72</f>
        <v>/Script/Engine.Texture2D'/Game/GameContent/Asset/Image/</v>
      </c>
      <c r="G72" s="6" t="str">
        <f>=F72&amp;D72&amp;"."&amp;D72&amp;"'"</f>
        <v>/Script/Engine.Texture2D'/Game/GameContent/Asset/Image/T_.T_'</v>
      </c>
    </row>
    <row r="73" spans="2:7">
      <c r="B73" s="20" t="s"/>
      <c r="D73" s="6" t="str">
        <f>="T_"&amp;A73</f>
        <v>T_</v>
      </c>
      <c r="E73" s="6" t="str">
        <f>=_xlfn.SWITCH(B73,"","","人物立绘","Character/Dialogue/","人物头像","Character/Head/","图标","Icon/","地图","Map/","对话背景","Background/")</f>
        <v/>
      </c>
      <c r="F73" s="6" t="str">
        <f>="/Script/Engine.Texture2D'/Game/GameContent/Asset/Image/"&amp;E73</f>
        <v>/Script/Engine.Texture2D'/Game/GameContent/Asset/Image/</v>
      </c>
      <c r="G73" s="6" t="str">
        <f>=F73&amp;D73&amp;"."&amp;D73&amp;"'"</f>
        <v>/Script/Engine.Texture2D'/Game/GameContent/Asset/Image/T_.T_'</v>
      </c>
    </row>
    <row r="74" spans="2:7">
      <c r="B74" s="20" t="s"/>
      <c r="D74" s="6" t="str">
        <f>="T_"&amp;A74</f>
        <v>T_</v>
      </c>
      <c r="E74" s="6" t="str">
        <f>=_xlfn.SWITCH(B74,"","","人物立绘","Character/Dialogue/","人物头像","Character/Head/","图标","Icon/","地图","Map/","对话背景","Background/")</f>
        <v/>
      </c>
      <c r="F74" s="6" t="str">
        <f>="/Script/Engine.Texture2D'/Game/GameContent/Asset/Image/"&amp;E74</f>
        <v>/Script/Engine.Texture2D'/Game/GameContent/Asset/Image/</v>
      </c>
      <c r="G74" s="6" t="str">
        <f>=F74&amp;D74&amp;"."&amp;D74&amp;"'"</f>
        <v>/Script/Engine.Texture2D'/Game/GameContent/Asset/Image/T_.T_'</v>
      </c>
    </row>
    <row r="75" spans="2:7">
      <c r="B75" s="20" t="s"/>
      <c r="D75" s="6" t="str">
        <f>="T_"&amp;A75</f>
        <v>T_</v>
      </c>
      <c r="E75" s="6" t="str">
        <f>=_xlfn.SWITCH(B75,"","","人物立绘","Character/Dialogue/","人物头像","Character/Head/","图标","Icon/","地图","Map/","对话背景","Background/")</f>
        <v/>
      </c>
      <c r="F75" s="6" t="str">
        <f>="/Script/Engine.Texture2D'/Game/GameContent/Asset/Image/"&amp;E75</f>
        <v>/Script/Engine.Texture2D'/Game/GameContent/Asset/Image/</v>
      </c>
      <c r="G75" s="6" t="str">
        <f>=F75&amp;D75&amp;"."&amp;D75&amp;"'"</f>
        <v>/Script/Engine.Texture2D'/Game/GameContent/Asset/Image/T_.T_'</v>
      </c>
    </row>
    <row r="76" spans="2:7">
      <c r="B76" s="20" t="s"/>
      <c r="D76" s="6" t="str">
        <f>="T_"&amp;A76</f>
        <v>T_</v>
      </c>
      <c r="E76" s="6" t="str">
        <f>=_xlfn.SWITCH(B76,"","","人物立绘","Character/Dialogue/","人物头像","Character/Head/","图标","Icon/","地图","Map/","对话背景","Background/")</f>
        <v/>
      </c>
      <c r="F76" s="6" t="str">
        <f>="/Script/Engine.Texture2D'/Game/GameContent/Asset/Image/"&amp;E76</f>
        <v>/Script/Engine.Texture2D'/Game/GameContent/Asset/Image/</v>
      </c>
      <c r="G76" s="6" t="str">
        <f>=F76&amp;D76&amp;"."&amp;D76&amp;"'"</f>
        <v>/Script/Engine.Texture2D'/Game/GameContent/Asset/Image/T_.T_'</v>
      </c>
    </row>
    <row r="77" spans="2:7">
      <c r="B77" s="20" t="s"/>
      <c r="D77" s="6" t="str">
        <f>="T_"&amp;A77</f>
        <v>T_</v>
      </c>
      <c r="E77" s="6" t="str">
        <f>=_xlfn.SWITCH(B77,"","","人物立绘","Character/Dialogue/","人物头像","Character/Head/","图标","Icon/","地图","Map/","对话背景","Background/")</f>
        <v/>
      </c>
      <c r="F77" s="6" t="str">
        <f>="/Script/Engine.Texture2D'/Game/GameContent/Asset/Image/"&amp;E77</f>
        <v>/Script/Engine.Texture2D'/Game/GameContent/Asset/Image/</v>
      </c>
      <c r="G77" s="6" t="str">
        <f>=F77&amp;D77&amp;"."&amp;D77&amp;"'"</f>
        <v>/Script/Engine.Texture2D'/Game/GameContent/Asset/Image/T_.T_'</v>
      </c>
    </row>
    <row r="78" spans="2:7">
      <c r="B78" s="20" t="s"/>
      <c r="D78" s="6" t="str">
        <f>="T_"&amp;A78</f>
        <v>T_</v>
      </c>
      <c r="E78" s="6" t="str">
        <f>=_xlfn.SWITCH(B78,"","","人物立绘","Character/Dialogue/","人物头像","Character/Head/","图标","Icon/","地图","Map/","对话背景","Background/")</f>
        <v/>
      </c>
      <c r="F78" s="6" t="str">
        <f>="/Script/Engine.Texture2D'/Game/GameContent/Asset/Image/"&amp;E78</f>
        <v>/Script/Engine.Texture2D'/Game/GameContent/Asset/Image/</v>
      </c>
      <c r="G78" s="6" t="str">
        <f>=F78&amp;D78&amp;"."&amp;D78&amp;"'"</f>
        <v>/Script/Engine.Texture2D'/Game/GameContent/Asset/Image/T_.T_'</v>
      </c>
    </row>
    <row r="79" spans="2:7">
      <c r="B79" s="20" t="s"/>
      <c r="D79" s="6" t="str">
        <f>="T_"&amp;A79</f>
        <v>T_</v>
      </c>
      <c r="E79" s="6" t="str">
        <f>=_xlfn.SWITCH(B79,"","","人物立绘","Character/Dialogue/","人物头像","Character/Head/","图标","Icon/","地图","Map/","对话背景","Background/")</f>
        <v/>
      </c>
      <c r="F79" s="6" t="str">
        <f>="/Script/Engine.Texture2D'/Game/GameContent/Asset/Image/"&amp;E79</f>
        <v>/Script/Engine.Texture2D'/Game/GameContent/Asset/Image/</v>
      </c>
      <c r="G79" s="6" t="str">
        <f>=F79&amp;D79&amp;"."&amp;D79&amp;"'"</f>
        <v>/Script/Engine.Texture2D'/Game/GameContent/Asset/Image/T_.T_'</v>
      </c>
    </row>
    <row r="80" spans="2:7">
      <c r="B80" s="20" t="s"/>
      <c r="D80" s="6" t="str">
        <f>="T_"&amp;A80</f>
        <v>T_</v>
      </c>
      <c r="E80" s="6" t="str">
        <f>=_xlfn.SWITCH(B80,"","","人物立绘","Character/Dialogue/","人物头像","Character/Head/","图标","Icon/","地图","Map/","对话背景","Background/")</f>
        <v/>
      </c>
      <c r="F80" s="6" t="str">
        <f>="/Script/Engine.Texture2D'/Game/GameContent/Asset/Image/"&amp;E80</f>
        <v>/Script/Engine.Texture2D'/Game/GameContent/Asset/Image/</v>
      </c>
      <c r="G80" s="6" t="str">
        <f>=F80&amp;D80&amp;"."&amp;D80&amp;"'"</f>
        <v>/Script/Engine.Texture2D'/Game/GameContent/Asset/Image/T_.T_'</v>
      </c>
    </row>
    <row r="81" spans="2:7">
      <c r="B81" s="20" t="s"/>
      <c r="D81" s="6" t="str">
        <f>="T_"&amp;A81</f>
        <v>T_</v>
      </c>
      <c r="E81" s="6" t="str">
        <f>=_xlfn.SWITCH(B81,"","","人物立绘","Character/Dialogue/","人物头像","Character/Head/","图标","Icon/","地图","Map/","对话背景","Background/")</f>
        <v/>
      </c>
      <c r="F81" s="6" t="str">
        <f>="/Script/Engine.Texture2D'/Game/GameContent/Asset/Image/"&amp;E81</f>
        <v>/Script/Engine.Texture2D'/Game/GameContent/Asset/Image/</v>
      </c>
      <c r="G81" s="6" t="str">
        <f>=F81&amp;D81&amp;"."&amp;D81&amp;"'"</f>
        <v>/Script/Engine.Texture2D'/Game/GameContent/Asset/Image/T_.T_'</v>
      </c>
    </row>
    <row r="82" spans="2:7">
      <c r="B82" s="20" t="s"/>
      <c r="D82" s="6" t="str">
        <f>="T_"&amp;A82</f>
        <v>T_</v>
      </c>
      <c r="E82" s="6" t="str">
        <f>=_xlfn.SWITCH(B82,"","","人物立绘","Character/Dialogue/","人物头像","Character/Head/","图标","Icon/","地图","Map/","对话背景","Background/")</f>
        <v/>
      </c>
      <c r="F82" s="6" t="str">
        <f>="/Script/Engine.Texture2D'/Game/GameContent/Asset/Image/"&amp;E82</f>
        <v>/Script/Engine.Texture2D'/Game/GameContent/Asset/Image/</v>
      </c>
      <c r="G82" s="6" t="str">
        <f>=F82&amp;D82&amp;"."&amp;D82&amp;"'"</f>
        <v>/Script/Engine.Texture2D'/Game/GameContent/Asset/Image/T_.T_'</v>
      </c>
    </row>
    <row r="83" spans="2:7">
      <c r="B83" s="20" t="s"/>
      <c r="D83" s="6" t="str">
        <f>="T_"&amp;A83</f>
        <v>T_</v>
      </c>
      <c r="E83" s="6" t="str">
        <f>=_xlfn.SWITCH(B83,"","","人物立绘","Character/Dialogue/","人物头像","Character/Head/","图标","Icon/","地图","Map/","对话背景","Background/")</f>
        <v/>
      </c>
      <c r="F83" s="6" t="str">
        <f>="/Script/Engine.Texture2D'/Game/GameContent/Asset/Image/"&amp;E83</f>
        <v>/Script/Engine.Texture2D'/Game/GameContent/Asset/Image/</v>
      </c>
      <c r="G83" s="6" t="str">
        <f>=F83&amp;D83&amp;"."&amp;D83&amp;"'"</f>
        <v>/Script/Engine.Texture2D'/Game/GameContent/Asset/Image/T_.T_'</v>
      </c>
    </row>
    <row r="84" spans="2:7">
      <c r="B84" s="20" t="s"/>
      <c r="D84" s="6" t="str">
        <f>="T_"&amp;A84</f>
        <v>T_</v>
      </c>
      <c r="E84" s="6" t="str">
        <f>=_xlfn.SWITCH(B84,"","","人物立绘","Character/Dialogue/","人物头像","Character/Head/","图标","Icon/","地图","Map/","对话背景","Background/")</f>
        <v/>
      </c>
      <c r="F84" s="6" t="str">
        <f>="/Script/Engine.Texture2D'/Game/GameContent/Asset/Image/"&amp;E84</f>
        <v>/Script/Engine.Texture2D'/Game/GameContent/Asset/Image/</v>
      </c>
      <c r="G84" s="6" t="str">
        <f>=F84&amp;D84&amp;"."&amp;D84&amp;"'"</f>
        <v>/Script/Engine.Texture2D'/Game/GameContent/Asset/Image/T_.T_'</v>
      </c>
    </row>
    <row r="85" spans="2:7">
      <c r="B85" s="20" t="s"/>
      <c r="D85" s="6" t="str">
        <f>="T_"&amp;A85</f>
        <v>T_</v>
      </c>
      <c r="E85" s="6" t="str">
        <f>=_xlfn.SWITCH(B85,"","","人物立绘","Character/Dialogue/","人物头像","Character/Head/","图标","Icon/","地图","Map/","对话背景","Background/")</f>
        <v/>
      </c>
      <c r="F85" s="6" t="str">
        <f>="/Script/Engine.Texture2D'/Game/GameContent/Asset/Image/"&amp;E85</f>
        <v>/Script/Engine.Texture2D'/Game/GameContent/Asset/Image/</v>
      </c>
      <c r="G85" s="6" t="str">
        <f>=F85&amp;D85&amp;"."&amp;D85&amp;"'"</f>
        <v>/Script/Engine.Texture2D'/Game/GameContent/Asset/Image/T_.T_'</v>
      </c>
    </row>
    <row r="86" spans="2:7">
      <c r="B86" s="20" t="s"/>
      <c r="D86" s="6" t="str">
        <f>="T_"&amp;A86</f>
        <v>T_</v>
      </c>
      <c r="E86" s="6" t="str">
        <f>=_xlfn.SWITCH(B86,"","","人物立绘","Character/Dialogue/","人物头像","Character/Head/","图标","Icon/","地图","Map/","对话背景","Background/")</f>
        <v/>
      </c>
      <c r="F86" s="6" t="str">
        <f>="/Script/Engine.Texture2D'/Game/GameContent/Asset/Image/"&amp;E86</f>
        <v>/Script/Engine.Texture2D'/Game/GameContent/Asset/Image/</v>
      </c>
      <c r="G86" s="6" t="str">
        <f>=F86&amp;D86&amp;"."&amp;D86&amp;"'"</f>
        <v>/Script/Engine.Texture2D'/Game/GameContent/Asset/Image/T_.T_'</v>
      </c>
    </row>
    <row r="87" spans="2:7">
      <c r="B87" s="20" t="s"/>
      <c r="E87" s="6" t="str">
        <f>=_xlfn.SWITCH(B87,"","","人物立绘","Character/Dialogue/","人物头像","Character/Head/","图标","Icon/","地图","Map/","对话背景","Background/")</f>
        <v/>
      </c>
      <c r="F87" s="6" t="str">
        <f>="/Script/Engine.Texture2D'/Game/GameContent/Asset/Image/"&amp;E87</f>
        <v>/Script/Engine.Texture2D'/Game/GameContent/Asset/Image/</v>
      </c>
      <c r="G87" s="6" t="str">
        <f>=F87&amp;D87&amp;"."&amp;D87&amp;"'"</f>
        <v>/Script/Engine.Texture2D'/Game/GameContent/Asset/Image/.'</v>
      </c>
    </row>
    <row r="88" spans="2:6">
      <c r="B88" s="20" t="s"/>
      <c r="E88" s="6" t="str">
        <f>=_xlfn.SWITCH(B88,"","","人物立绘","Character/Dialogue/","人物头像","Character/Head/","图标","Icon/","地图","Map/","对话背景","Background/")</f>
        <v/>
      </c>
      <c r="F88" s="6" t="str">
        <f>="/Script/Engine.Texture2D'/Game/GameContent/Asset/Image/"&amp;E88</f>
        <v>/Script/Engine.Texture2D'/Game/GameContent/Asset/Image/</v>
      </c>
    </row>
    <row r="89" spans="2:6">
      <c r="B89" s="20" t="s"/>
      <c r="E89" s="6" t="str">
        <f>=_xlfn.SWITCH(B89,"","","人物立绘","Character/Dialogue/","人物头像","Character/Head/","图标","Icon/","地图","Map/","对话背景","Background/")</f>
        <v/>
      </c>
      <c r="F89" s="6" t="str">
        <f>="/Script/Engine.Texture2D'/Game/GameContent/Asset/Image/"&amp;E89</f>
        <v>/Script/Engine.Texture2D'/Game/GameContent/Asset/Image/</v>
      </c>
    </row>
    <row r="90" spans="2:6">
      <c r="B90" s="20" t="s"/>
      <c r="E90" s="6" t="str">
        <f>=_xlfn.SWITCH(B90,"","","人物立绘","Character/Dialogue/","人物头像","Character/Head/","图标","Icon/","地图","Map/","对话背景","Background/")</f>
        <v/>
      </c>
      <c r="F90" s="6" t="str">
        <f>="/Script/Engine.Texture2D'/Game/GameContent/Asset/Image/"&amp;E90</f>
        <v>/Script/Engine.Texture2D'/Game/GameContent/Asset/Image/</v>
      </c>
    </row>
    <row r="91" spans="2:6">
      <c r="B91" s="20" t="s"/>
      <c r="E91" s="6" t="str">
        <f>=_xlfn.SWITCH(B91,"","","人物立绘","Character/Dialogue/","人物头像","Character/Head/","图标","Icon/","地图","Map/","对话背景","Background/")</f>
        <v/>
      </c>
      <c r="F91" s="6" t="str">
        <f>="/Script/Engine.Texture2D'/Game/GameContent/Asset/Image/"&amp;E91</f>
        <v>/Script/Engine.Texture2D'/Game/GameContent/Asset/Image/</v>
      </c>
    </row>
    <row r="92" spans="2:6">
      <c r="B92" s="20" t="s"/>
      <c r="E92" s="6" t="str">
        <f>=_xlfn.SWITCH(B92,"","","人物立绘","Character/Dialogue/","人物头像","Character/Head/","图标","Icon/","地图","Map/","对话背景","Background/")</f>
        <v/>
      </c>
      <c r="F92" s="6" t="str">
        <f>="/Script/Engine.Texture2D'/Game/GameContent/Asset/Image/"&amp;E92</f>
        <v>/Script/Engine.Texture2D'/Game/GameContent/Asset/Image/</v>
      </c>
    </row>
    <row r="93" spans="2:6">
      <c r="B93" s="20" t="s"/>
      <c r="E93" s="6" t="str">
        <f>=_xlfn.SWITCH(B93,"","","人物立绘","Character/Dialogue/","人物头像","Character/Head/","图标","Icon/","地图","Map/","对话背景","Background/")</f>
        <v/>
      </c>
      <c r="F93" s="6" t="str">
        <f>="/Script/Engine.Texture2D'/Game/GameContent/Asset/Image/"&amp;E93</f>
        <v>/Script/Engine.Texture2D'/Game/GameContent/Asset/Image/</v>
      </c>
    </row>
    <row r="94" spans="2:6">
      <c r="B94" s="20" t="s"/>
      <c r="E94" s="6" t="str">
        <f>=_xlfn.SWITCH(B94,"","","人物立绘","Character/Dialogue/","人物头像","Character/Head/","图标","Icon/","地图","Map/","对话背景","Background/")</f>
        <v/>
      </c>
      <c r="F94" s="6" t="str">
        <f>="/Script/Engine.Texture2D'/Game/GameContent/Asset/Image/"&amp;E94</f>
        <v>/Script/Engine.Texture2D'/Game/GameContent/Asset/Image/</v>
      </c>
    </row>
    <row r="95" spans="2:6">
      <c r="B95" s="20" t="s"/>
      <c r="E95" s="6" t="str">
        <f>=_xlfn.SWITCH(B95,"","","人物立绘","Character/Dialogue/","人物头像","Character/Head/","图标","Icon/","地图","Map/","对话背景","Background/")</f>
        <v/>
      </c>
      <c r="F95" s="6" t="str">
        <f>="/Script/Engine.Texture2D'/Game/GameContent/Asset/Image/"&amp;E95</f>
        <v>/Script/Engine.Texture2D'/Game/GameContent/Asset/Image/</v>
      </c>
    </row>
    <row r="96" spans="2:6">
      <c r="B96" s="20" t="s"/>
      <c r="E96" s="6" t="str">
        <f>=_xlfn.SWITCH(B96,"","","人物立绘","Character/Dialogue/","人物头像","Character/Head/","图标","Icon/","地图","Map/","对话背景","Background/")</f>
        <v/>
      </c>
      <c r="F96" s="6" t="str">
        <f>="/Script/Engine.Texture2D'/Game/GameContent/Asset/Image/"&amp;E96</f>
        <v>/Script/Engine.Texture2D'/Game/GameContent/Asset/Image/</v>
      </c>
    </row>
    <row r="97" spans="2:6">
      <c r="B97" s="20" t="s"/>
      <c r="E97" s="6" t="str">
        <f>=_xlfn.SWITCH(B97,"","","人物立绘","Character/Dialogue/","人物头像","Character/Head/","图标","Icon/","地图","Map/","对话背景","Background/")</f>
        <v/>
      </c>
      <c r="F97" s="6" t="str">
        <f>="/Script/Engine.Texture2D'/Game/GameContent/Asset/Image/"&amp;E97</f>
        <v>/Script/Engine.Texture2D'/Game/GameContent/Asset/Image/</v>
      </c>
    </row>
    <row r="98" spans="2:6">
      <c r="B98" s="20" t="s"/>
      <c r="E98" s="6" t="str">
        <f>=_xlfn.SWITCH(B98,"","","人物立绘","Character/Dialogue/","人物头像","Character/Head/","图标","Icon/","地图","Map/","对话背景","Background/")</f>
        <v/>
      </c>
      <c r="F98" s="6" t="str">
        <f>="/Script/Engine.Texture2D'/Game/GameContent/Asset/Image/"&amp;E98</f>
        <v>/Script/Engine.Texture2D'/Game/GameContent/Asset/Image/</v>
      </c>
    </row>
    <row r="99" spans="2:6">
      <c r="B99" s="20" t="s"/>
      <c r="E99" s="6" t="str">
        <f>=_xlfn.SWITCH(B99,"","","人物立绘","Character/Dialogue/","人物头像","Character/Head/","图标","Icon/","地图","Map/","对话背景","Background/")</f>
        <v/>
      </c>
      <c r="F99" s="6" t="str">
        <f>="/Script/Engine.Texture2D'/Game/GameContent/Asset/Image/"&amp;E99</f>
        <v>/Script/Engine.Texture2D'/Game/GameContent/Asset/Image/</v>
      </c>
    </row>
    <row r="100" spans="2:6">
      <c r="B100" s="20" t="s"/>
      <c r="E100" s="6" t="str">
        <f>=_xlfn.SWITCH(B100,"","","人物立绘","Character/Dialogue/","人物头像","Character/Head/","图标","Icon/","地图","Map/","对话背景","Background/")</f>
        <v/>
      </c>
      <c r="F100" s="6" t="str">
        <f>="/Script/Engine.Texture2D'/Game/GameContent/Asset/Image/"&amp;E100</f>
        <v>/Script/Engine.Texture2D'/Game/GameContent/Asset/Image/</v>
      </c>
    </row>
    <row r="101" spans="2:6">
      <c r="B101" s="20" t="s"/>
      <c r="E101" s="6" t="str">
        <f>=_xlfn.SWITCH(B101,"","","人物立绘","Character/Dialogue/","人物头像","Character/Head/","图标","Icon/","地图","Map/","对话背景","Background/")</f>
        <v/>
      </c>
      <c r="F101" s="6" t="str">
        <f>="/Script/Engine.Texture2D'/Game/GameContent/Asset/Image/"&amp;E101</f>
        <v>/Script/Engine.Texture2D'/Game/GameContent/Asset/Image/</v>
      </c>
    </row>
    <row r="102" spans="2:6">
      <c r="B102" s="20" t="s"/>
      <c r="E102" s="6" t="str">
        <f>=_xlfn.SWITCH(B102,"","","人物立绘","Character/Dialogue/","人物头像","Character/Head/","图标","Icon/","地图","Map/","对话背景","Background/")</f>
        <v/>
      </c>
      <c r="F102" s="6" t="str">
        <f>="/Script/Engine.Texture2D'/Game/GameContent/Asset/Image/"&amp;E102</f>
        <v>/Script/Engine.Texture2D'/Game/GameContent/Asset/Image/</v>
      </c>
    </row>
    <row r="103" spans="2:6">
      <c r="B103" s="20" t="s"/>
      <c r="E103" s="6" t="str">
        <f>=_xlfn.SWITCH(B103,"","","人物立绘","Character/Dialogue/","人物头像","Character/Head/","图标","Icon/","地图","Map/","对话背景","Background/")</f>
        <v/>
      </c>
      <c r="F103" s="6" t="str">
        <f>="/Script/Engine.Texture2D'/Game/GameContent/Asset/Image/"&amp;E103</f>
        <v>/Script/Engine.Texture2D'/Game/GameContent/Asset/Image/</v>
      </c>
    </row>
    <row r="104" spans="2:6">
      <c r="B104" s="20" t="s"/>
      <c r="E104" s="6" t="str">
        <f>=_xlfn.SWITCH(B104,"","","人物立绘","Character/Dialogue/","人物头像","Character/Head/","图标","Icon/","地图","Map/","对话背景","Background/")</f>
        <v/>
      </c>
      <c r="F104" s="6" t="str">
        <f>="/Script/Engine.Texture2D'/Game/GameContent/Asset/Image/"&amp;E104</f>
        <v>/Script/Engine.Texture2D'/Game/GameContent/Asset/Image/</v>
      </c>
    </row>
    <row r="105" spans="2:6">
      <c r="B105" s="20" t="s"/>
      <c r="E105" s="6" t="str">
        <f>=_xlfn.SWITCH(B105,"","","人物立绘","Character/Dialogue/","人物头像","Character/Head/","图标","Icon/","地图","Map/","对话背景","Background/")</f>
        <v/>
      </c>
      <c r="F105" s="6" t="str">
        <f>="/Script/Engine.Texture2D'/Game/GameContent/Asset/Image/"&amp;E105</f>
        <v>/Script/Engine.Texture2D'/Game/GameContent/Asset/Image/</v>
      </c>
    </row>
    <row r="106" spans="2:6">
      <c r="B106" s="20" t="s"/>
      <c r="E106" s="6" t="str">
        <f>=_xlfn.SWITCH(B106,"","","人物立绘","Character/Dialogue/","人物头像","Character/Head/","图标","Icon/","地图","Map/","对话背景","Background/")</f>
        <v/>
      </c>
      <c r="F106" s="6" t="str">
        <f>="/Script/Engine.Texture2D'/Game/GameContent/Asset/Image/"&amp;E106</f>
        <v>/Script/Engine.Texture2D'/Game/GameContent/Asset/Image/</v>
      </c>
    </row>
    <row r="107" spans="2:6">
      <c r="B107" s="20" t="s"/>
      <c r="E107" s="6" t="str">
        <f>=_xlfn.SWITCH(B107,"","","人物立绘","Character/Dialogue/","人物头像","Character/Head/","图标","Icon/","地图","Map/","对话背景","Background/")</f>
        <v/>
      </c>
      <c r="F107" s="6" t="str">
        <f>="/Script/Engine.Texture2D'/Game/GameContent/Asset/Image/"&amp;E107</f>
        <v>/Script/Engine.Texture2D'/Game/GameContent/Asset/Image/</v>
      </c>
    </row>
    <row r="108" spans="2:6">
      <c r="B108" s="20" t="s"/>
      <c r="E108" s="6" t="str">
        <f>=_xlfn.SWITCH(B108,"","","人物立绘","Character/Dialogue/","人物头像","Character/Head/","图标","Icon/","地图","Map/","对话背景","Background/")</f>
        <v/>
      </c>
      <c r="F108" s="6" t="str">
        <f>="/Script/Engine.Texture2D'/Game/GameContent/Asset/Image/"&amp;E108</f>
        <v>/Script/Engine.Texture2D'/Game/GameContent/Asset/Image/</v>
      </c>
    </row>
    <row r="109" spans="2:6">
      <c r="B109" s="20" t="s"/>
      <c r="E109" s="6" t="str">
        <f>=_xlfn.SWITCH(B109,"","","人物立绘","Character/Dialogue/","人物头像","Character/Head/","图标","Icon/","地图","Map/","对话背景","Background/")</f>
        <v/>
      </c>
      <c r="F109" s="6" t="str">
        <f>="/Script/Engine.Texture2D'/Game/GameContent/Asset/Image/"&amp;E109</f>
        <v>/Script/Engine.Texture2D'/Game/GameContent/Asset/Image/</v>
      </c>
    </row>
    <row r="110" spans="2:6">
      <c r="B110" s="20" t="s"/>
      <c r="E110" s="6" t="str">
        <f>=_xlfn.SWITCH(B110,"","","人物立绘","Character/Dialogue/","人物头像","Character/Head/","图标","Icon/","地图","Map/","对话背景","Background/")</f>
        <v/>
      </c>
      <c r="F110" s="6" t="str">
        <f>="/Script/Engine.Texture2D'/Game/GameContent/Asset/Image/"&amp;E110</f>
        <v>/Script/Engine.Texture2D'/Game/GameContent/Asset/Image/</v>
      </c>
    </row>
    <row r="111" spans="2:6">
      <c r="B111" s="20" t="s"/>
      <c r="E111" s="6" t="str">
        <f>=_xlfn.SWITCH(B111,"","","人物立绘","Character/Dialogue/","人物头像","Character/Head/","图标","Icon/","地图","Map/","对话背景","Background/")</f>
        <v/>
      </c>
      <c r="F111" s="6" t="str">
        <f>="/Script/Engine.Texture2D'/Game/GameContent/Asset/Image/"&amp;E111</f>
        <v>/Script/Engine.Texture2D'/Game/GameContent/Asset/Image/</v>
      </c>
    </row>
    <row r="112" spans="2:6">
      <c r="B112" s="20" t="s"/>
      <c r="E112" s="6" t="str">
        <f>=_xlfn.SWITCH(B112,"","","人物立绘","Character/Dialogue/","人物头像","Character/Head/","图标","Icon/","地图","Map/","对话背景","Background/")</f>
        <v/>
      </c>
      <c r="F112" s="6" t="str">
        <f>="/Script/Engine.Texture2D'/Game/GameContent/Asset/Image/"&amp;E112</f>
        <v>/Script/Engine.Texture2D'/Game/GameContent/Asset/Image/</v>
      </c>
    </row>
    <row r="113" spans="2:6">
      <c r="B113" s="20" t="s"/>
      <c r="E113" s="6" t="str">
        <f>=_xlfn.SWITCH(B113,"","","人物立绘","Character/Dialogue/","人物头像","Character/Head/","图标","Icon/","地图","Map/","对话背景","Background/")</f>
        <v/>
      </c>
      <c r="F113" s="6" t="str">
        <f>="/Script/Engine.Texture2D'/Game/GameContent/Asset/Image/"&amp;E113</f>
        <v>/Script/Engine.Texture2D'/Game/GameContent/Asset/Image/</v>
      </c>
    </row>
    <row r="114" spans="2:6">
      <c r="B114" s="20" t="s"/>
      <c r="E114" s="6" t="str">
        <f>=_xlfn.SWITCH(B114,"","","人物立绘","Character/Dialogue/","人物头像","Character/Head/","图标","Icon/","地图","Map/","对话背景","Background/")</f>
        <v/>
      </c>
      <c r="F114" s="6" t="str">
        <f>="/Script/Engine.Texture2D'/Game/GameContent/Asset/Image/"&amp;E114</f>
        <v>/Script/Engine.Texture2D'/Game/GameContent/Asset/Image/</v>
      </c>
    </row>
    <row r="115" spans="2:6">
      <c r="B115" s="20" t="s"/>
      <c r="E115" s="6" t="str">
        <f>=_xlfn.SWITCH(B115,"","","人物立绘","Character/Dialogue/","人物头像","Character/Head/","图标","Icon/","地图","Map/","对话背景","Background/")</f>
        <v/>
      </c>
      <c r="F115" s="6" t="str">
        <f>="/Script/Engine.Texture2D'/Game/GameContent/Asset/Image/"&amp;E115</f>
        <v>/Script/Engine.Texture2D'/Game/GameContent/Asset/Image/</v>
      </c>
    </row>
    <row r="116" spans="2:6">
      <c r="B116" s="20" t="s"/>
      <c r="E116" s="6" t="str">
        <f>=_xlfn.SWITCH(B116,"","","人物立绘","Character/Dialogue/","人物头像","Character/Head/","图标","Icon/","地图","Map/","对话背景","Background/")</f>
        <v/>
      </c>
      <c r="F116" s="6" t="str">
        <f>="/Script/Engine.Texture2D'/Game/GameContent/Asset/Image/"&amp;E116</f>
        <v>/Script/Engine.Texture2D'/Game/GameContent/Asset/Image/</v>
      </c>
    </row>
    <row r="117" spans="2:6">
      <c r="B117" s="20" t="s"/>
      <c r="E117" s="6" t="str">
        <f>=_xlfn.SWITCH(B117,"","","人物立绘","Character/Dialogue/","人物头像","Character/Head/","图标","Icon/","地图","Map/","对话背景","Background/")</f>
        <v/>
      </c>
      <c r="F117" s="6" t="str">
        <f>="/Script/Engine.Texture2D'/Game/GameContent/Asset/Image/"&amp;E117</f>
        <v>/Script/Engine.Texture2D'/Game/GameContent/Asset/Image/</v>
      </c>
    </row>
    <row r="118" spans="2:6">
      <c r="B118" s="20" t="s"/>
      <c r="E118" s="6" t="str">
        <f>=_xlfn.SWITCH(B118,"","","人物立绘","Character/Dialogue/","人物头像","Character/Head/","图标","Icon/","地图","Map/","对话背景","Background/")</f>
        <v/>
      </c>
      <c r="F118" s="6" t="str">
        <f>="/Script/Engine.Texture2D'/Game/GameContent/Asset/Image/"&amp;E118</f>
        <v>/Script/Engine.Texture2D'/Game/GameContent/Asset/Image/</v>
      </c>
    </row>
    <row r="119" spans="2:6">
      <c r="B119" s="20" t="s"/>
      <c r="E119" s="6" t="str">
        <f>=_xlfn.SWITCH(B119,"","","人物立绘","Character/Dialogue/","人物头像","Character/Head/","图标","Icon/","地图","Map/","对话背景","Background/")</f>
        <v/>
      </c>
      <c r="F119" s="6" t="str">
        <f>="/Script/Engine.Texture2D'/Game/GameContent/Asset/Image/"&amp;E119</f>
        <v>/Script/Engine.Texture2D'/Game/GameContent/Asset/Image/</v>
      </c>
    </row>
    <row r="120" spans="2:6">
      <c r="B120" s="20" t="s"/>
      <c r="E120" s="6" t="str">
        <f>=_xlfn.SWITCH(B120,"","","人物立绘","Character/Dialogue/","人物头像","Character/Head/","图标","Icon/","地图","Map/","对话背景","Background/")</f>
        <v/>
      </c>
      <c r="F120" s="6" t="str">
        <f>="/Script/Engine.Texture2D'/Game/GameContent/Asset/Image/"&amp;E120</f>
        <v>/Script/Engine.Texture2D'/Game/GameContent/Asset/Image/</v>
      </c>
    </row>
    <row r="121" spans="2:6">
      <c r="B121" s="20" t="s"/>
      <c r="E121" s="6" t="str">
        <f>=_xlfn.SWITCH(B121,"","","人物立绘","Character/Dialogue/","人物头像","Character/Head/","图标","Icon/","地图","Map/","对话背景","Background/")</f>
        <v/>
      </c>
      <c r="F121" s="6" t="str">
        <f>="/Script/Engine.Texture2D'/Game/GameContent/Asset/Image/"&amp;E121</f>
        <v>/Script/Engine.Texture2D'/Game/GameContent/Asset/Image/</v>
      </c>
    </row>
    <row r="122" spans="2:6">
      <c r="B122" s="20" t="s"/>
      <c r="E122" s="6" t="str">
        <f>=_xlfn.SWITCH(B122,"","","人物立绘","Character/Dialogue/","人物头像","Character/Head/","图标","Icon/","地图","Map/","对话背景","Background/")</f>
        <v/>
      </c>
      <c r="F122" s="6" t="str">
        <f>="/Script/Engine.Texture2D'/Game/GameContent/Asset/Image/"&amp;E122</f>
        <v>/Script/Engine.Texture2D'/Game/GameContent/Asset/Image/</v>
      </c>
    </row>
    <row r="123" spans="2:6">
      <c r="B123" s="20" t="s"/>
      <c r="E123" s="6" t="str">
        <f>=_xlfn.SWITCH(B123,"","","人物立绘","Character/Dialogue/","人物头像","Character/Head/","图标","Icon/","地图","Map/","对话背景","Background/")</f>
        <v/>
      </c>
      <c r="F123" s="6" t="str">
        <f>="/Script/Engine.Texture2D'/Game/GameContent/Asset/Image/"&amp;E123</f>
        <v>/Script/Engine.Texture2D'/Game/GameContent/Asset/Image/</v>
      </c>
    </row>
    <row r="124" spans="2:6">
      <c r="B124" s="20" t="s"/>
      <c r="E124" s="6" t="str">
        <f>=_xlfn.SWITCH(B124,"","","人物立绘","Character/Dialogue/","人物头像","Character/Head/","图标","Icon/","地图","Map/","对话背景","Background/")</f>
        <v/>
      </c>
      <c r="F124" s="6" t="str">
        <f>="/Script/Engine.Texture2D'/Game/GameContent/Asset/Image/"&amp;E124</f>
        <v>/Script/Engine.Texture2D'/Game/GameContent/Asset/Image/</v>
      </c>
    </row>
    <row r="125" spans="2:6">
      <c r="B125" s="20" t="s"/>
      <c r="F125" s="6" t="str">
        <f>="/Script/Engine.Texture2D'/Game/GameContent/Asset/Image/"&amp;E125</f>
        <v>/Script/Engine.Texture2D'/Game/GameContent/Asset/Image/</v>
      </c>
    </row>
    <row r="126" spans="2:6">
      <c r="B126" s="20" t="s"/>
      <c r="F126" s="6" t="str">
        <f>="/Script/Engine.Texture2D'/Game/GameContent/Asset/Image/"&amp;E126</f>
        <v>/Script/Engine.Texture2D'/Game/GameContent/Asset/Image/</v>
      </c>
    </row>
    <row r="127" spans="2:6">
      <c r="B127" s="20" t="s"/>
      <c r="F127" s="6" t="str">
        <f>="/Script/Engine.Texture2D'/Game/GameContent/Asset/Image/"&amp;E127</f>
        <v>/Script/Engine.Texture2D'/Game/GameContent/Asset/Image/</v>
      </c>
    </row>
    <row r="128" spans="2:6">
      <c r="B128" s="20" t="s"/>
      <c r="F128" s="6" t="str">
        <f>="/Script/Engine.Texture2D'/Game/GameContent/Asset/Image/"&amp;E128</f>
        <v>/Script/Engine.Texture2D'/Game/GameContent/Asset/Image/</v>
      </c>
    </row>
    <row r="129" spans="2:6">
      <c r="B129" s="20" t="s"/>
      <c r="F129" s="6" t="str">
        <f>="/Script/Engine.Texture2D'/Game/GameContent/Asset/Image/"&amp;E129</f>
        <v>/Script/Engine.Texture2D'/Game/GameContent/Asset/Image/</v>
      </c>
    </row>
    <row r="130" spans="2:6">
      <c r="B130" s="20" t="s"/>
      <c r="F130" s="6" t="str">
        <f>="/Script/Engine.Texture2D'/Game/GameContent/Asset/Image/"&amp;E130</f>
        <v>/Script/Engine.Texture2D'/Game/GameContent/Asset/Image/</v>
      </c>
    </row>
    <row r="131" spans="2:6">
      <c r="B131" s="20" t="s"/>
      <c r="F131" s="6" t="str">
        <f>="/Script/Engine.Texture2D'/Game/GameContent/Asset/Image/"&amp;E131</f>
        <v>/Script/Engine.Texture2D'/Game/GameContent/Asset/Image/</v>
      </c>
    </row>
    <row r="132" spans="2:6">
      <c r="B132" s="20" t="s"/>
      <c r="F132" s="6" t="str">
        <f>="/Script/Engine.Texture2D'/Game/GameContent/Asset/Image/"&amp;E132</f>
        <v>/Script/Engine.Texture2D'/Game/GameContent/Asset/Image/</v>
      </c>
    </row>
    <row r="133" spans="2:6">
      <c r="B133" s="20" t="s"/>
      <c r="F133" s="6" t="str">
        <f>="/Script/Engine.Texture2D'/Game/GameContent/Asset/Image/"&amp;E133</f>
        <v>/Script/Engine.Texture2D'/Game/GameContent/Asset/Image/</v>
      </c>
    </row>
    <row r="134" spans="2:6">
      <c r="B134" s="20" t="s"/>
      <c r="F134" s="6" t="str">
        <f>="/Script/Engine.Texture2D'/Game/GameContent/Asset/Image/"&amp;E134</f>
        <v>/Script/Engine.Texture2D'/Game/GameContent/Asset/Image/</v>
      </c>
    </row>
    <row r="135" spans="2:6">
      <c r="B135" s="20" t="s"/>
      <c r="F135" s="6" t="str">
        <f>="/Script/Engine.Texture2D'/Game/GameContent/Asset/Image/"&amp;E135</f>
        <v>/Script/Engine.Texture2D'/Game/GameContent/Asset/Image/</v>
      </c>
    </row>
    <row r="136" spans="2:6">
      <c r="B136" s="20" t="s"/>
      <c r="F136" s="6" t="str">
        <f>="/Script/Engine.Texture2D'/Game/GameContent/Asset/Image/"&amp;E136</f>
        <v>/Script/Engine.Texture2D'/Game/GameContent/Asset/Image/</v>
      </c>
    </row>
    <row r="137" spans="2:6">
      <c r="B137" s="20" t="s"/>
      <c r="F137" s="6" t="str">
        <f>="/Script/Engine.Texture2D'/Game/GameContent/Asset/Image/"&amp;E137</f>
        <v>/Script/Engine.Texture2D'/Game/GameContent/Asset/Image/</v>
      </c>
    </row>
    <row r="138" spans="2:6">
      <c r="B138" s="20" t="s"/>
      <c r="F138" s="6" t="str">
        <f>="/Script/Engine.Texture2D'/Game/GameContent/Asset/Image/"&amp;E138</f>
        <v>/Script/Engine.Texture2D'/Game/GameContent/Asset/Image/</v>
      </c>
    </row>
    <row r="139" spans="2:6">
      <c r="B139" s="20" t="s"/>
      <c r="F139" s="6" t="str">
        <f>="/Script/Engine.Texture2D'/Game/GameContent/Asset/Image/"&amp;E139</f>
        <v>/Script/Engine.Texture2D'/Game/GameContent/Asset/Image/</v>
      </c>
    </row>
    <row r="140" spans="2:6">
      <c r="B140" s="20" t="s"/>
      <c r="F140" s="6" t="str">
        <f>="/Script/Engine.Texture2D'/Game/GameContent/Asset/Image/"&amp;E140</f>
        <v>/Script/Engine.Texture2D'/Game/GameContent/Asset/Image/</v>
      </c>
    </row>
    <row r="141" spans="2:6">
      <c r="B141" s="20" t="s"/>
      <c r="F141" s="6" t="str">
        <f>="/Script/Engine.Texture2D'/Game/GameContent/Asset/Image/"&amp;E141</f>
        <v>/Script/Engine.Texture2D'/Game/GameContent/Asset/Image/</v>
      </c>
    </row>
    <row r="142" spans="2:6">
      <c r="B142" s="20" t="s"/>
      <c r="F142" s="6" t="str">
        <f>="/Script/Engine.Texture2D'/Game/GameContent/Asset/Image/"&amp;E142</f>
        <v>/Script/Engine.Texture2D'/Game/GameContent/Asset/Image/</v>
      </c>
    </row>
    <row r="143" spans="2:6">
      <c r="B143" s="20" t="s"/>
      <c r="F143" s="6" t="str">
        <f>="/Script/Engine.Texture2D'/Game/GameContent/Asset/Image/"&amp;E143</f>
        <v>/Script/Engine.Texture2D'/Game/GameContent/Asset/Image/</v>
      </c>
    </row>
    <row r="144" spans="2:6">
      <c r="B144" s="20" t="s"/>
      <c r="F144" s="6" t="str">
        <f>="/Script/Engine.Texture2D'/Game/GameContent/Asset/Image/"&amp;E144</f>
        <v>/Script/Engine.Texture2D'/Game/GameContent/Asset/Image/</v>
      </c>
    </row>
    <row r="145" spans="2:6">
      <c r="B145" s="20" t="s"/>
      <c r="F145" s="6" t="str">
        <f>="/Script/Engine.Texture2D'/Game/GameContent/Asset/Image/"&amp;E145</f>
        <v>/Script/Engine.Texture2D'/Game/GameContent/Asset/Image/</v>
      </c>
    </row>
    <row r="146" spans="2:6">
      <c r="B146" s="20" t="s"/>
      <c r="F146" s="6" t="str">
        <f>="/Script/Engine.Texture2D'/Game/GameContent/Asset/Image/"&amp;E146</f>
        <v>/Script/Engine.Texture2D'/Game/GameContent/Asset/Image/</v>
      </c>
    </row>
    <row r="147" spans="2:6">
      <c r="B147" s="20" t="s"/>
      <c r="F147" s="6" t="str">
        <f>="/Script/Engine.Texture2D'/Game/GameContent/Asset/Image/"&amp;E147</f>
        <v>/Script/Engine.Texture2D'/Game/GameContent/Asset/Image/</v>
      </c>
    </row>
    <row r="148" spans="2:6">
      <c r="B148" s="20" t="s"/>
      <c r="F148" s="6" t="str">
        <f>="/Script/Engine.Texture2D'/Game/GameContent/Asset/Image/"&amp;E148</f>
        <v>/Script/Engine.Texture2D'/Game/GameContent/Asset/Image/</v>
      </c>
    </row>
    <row r="149" spans="2:6">
      <c r="B149" s="20" t="s"/>
      <c r="F149" s="6" t="str">
        <f>="/Script/Engine.Texture2D'/Game/GameContent/Asset/Image/"&amp;E149</f>
        <v>/Script/Engine.Texture2D'/Game/GameContent/Asset/Image/</v>
      </c>
    </row>
    <row r="150" spans="2:6">
      <c r="B150" s="20" t="s"/>
      <c r="F150" s="6" t="str">
        <f>="/Script/Engine.Texture2D'/Game/GameContent/Asset/Image/"&amp;E150</f>
        <v>/Script/Engine.Texture2D'/Game/GameContent/Asset/Image/</v>
      </c>
    </row>
    <row r="151" spans="2:6">
      <c r="B151" s="20" t="s"/>
      <c r="F151" s="6" t="str">
        <f>="/Script/Engine.Texture2D'/Game/GameContent/Asset/Image/"&amp;E151</f>
        <v>/Script/Engine.Texture2D'/Game/GameContent/Asset/Image/</v>
      </c>
    </row>
    <row r="152" spans="2:6">
      <c r="B152" s="20" t="s"/>
      <c r="F152" s="6" t="str">
        <f>="/Script/Engine.Texture2D'/Game/GameContent/Asset/Image/"&amp;E152</f>
        <v>/Script/Engine.Texture2D'/Game/GameContent/Asset/Image/</v>
      </c>
    </row>
    <row r="153" spans="2:6">
      <c r="B153" s="20" t="s"/>
      <c r="F153" s="6" t="str">
        <f>="/Script/Engine.Texture2D'/Game/GameContent/Asset/Image/"&amp;E153</f>
        <v>/Script/Engine.Texture2D'/Game/GameContent/Asset/Image/</v>
      </c>
    </row>
    <row r="154" spans="2:6">
      <c r="B154" s="20" t="s"/>
      <c r="F154" s="6" t="str">
        <f>="/Script/Engine.Texture2D'/Game/GameContent/Asset/Image/"&amp;E154</f>
        <v>/Script/Engine.Texture2D'/Game/GameContent/Asset/Image/</v>
      </c>
    </row>
    <row r="155" spans="2:6">
      <c r="B155" s="20" t="s"/>
      <c r="F155" s="6" t="str">
        <f>="/Script/Engine.Texture2D'/Game/GameContent/Asset/Image/"&amp;E155</f>
        <v>/Script/Engine.Texture2D'/Game/GameContent/Asset/Image/</v>
      </c>
    </row>
    <row r="156" spans="2:6">
      <c r="B156" s="20" t="s"/>
      <c r="F156" s="6" t="str">
        <f>="/Script/Engine.Texture2D'/Game/GameContent/Asset/Image/"&amp;E156</f>
        <v>/Script/Engine.Texture2D'/Game/GameContent/Asset/Image/</v>
      </c>
    </row>
    <row r="157" spans="2:6">
      <c r="B157" s="20" t="s"/>
      <c r="F157" s="6" t="str">
        <f>="/Script/Engine.Texture2D'/Game/GameContent/Asset/Image/"&amp;E157</f>
        <v>/Script/Engine.Texture2D'/Game/GameContent/Asset/Image/</v>
      </c>
    </row>
    <row r="158" spans="2:6">
      <c r="B158" s="20" t="s"/>
      <c r="F158" s="6" t="str">
        <f>="/Script/Engine.Texture2D'/Game/GameContent/Asset/Image/"&amp;E158</f>
        <v>/Script/Engine.Texture2D'/Game/GameContent/Asset/Image/</v>
      </c>
    </row>
    <row r="159" spans="2:6">
      <c r="B159" s="20" t="s"/>
      <c r="F159" s="6" t="str">
        <f>="/Script/Engine.Texture2D'/Game/GameContent/Asset/Image/"&amp;E159</f>
        <v>/Script/Engine.Texture2D'/Game/GameContent/Asset/Image/</v>
      </c>
    </row>
    <row r="160" spans="2:6">
      <c r="B160" s="20" t="s"/>
      <c r="F160" s="6" t="str">
        <f>="/Script/Engine.Texture2D'/Game/GameContent/Asset/Image/"&amp;E160</f>
        <v>/Script/Engine.Texture2D'/Game/GameContent/Asset/Image/</v>
      </c>
    </row>
    <row r="161" spans="2:6">
      <c r="B161" s="20" t="s"/>
      <c r="F161" s="6" t="str">
        <f>="/Script/Engine.Texture2D'/Game/GameContent/Asset/Image/"&amp;E161</f>
        <v>/Script/Engine.Texture2D'/Game/GameContent/Asset/Image/</v>
      </c>
    </row>
    <row r="162" spans="2:2">
      <c r="B162" s="20" t="s"/>
    </row>
    <row r="163" spans="2:2">
      <c r="B163" s="20" t="s"/>
    </row>
    <row r="164" spans="2:2">
      <c r="B164" s="20" t="s"/>
    </row>
    <row r="165" spans="2:2">
      <c r="B165" s="20" t="s"/>
    </row>
    <row r="166" spans="2:2">
      <c r="B166" s="20" t="s"/>
    </row>
    <row r="167" spans="2:2">
      <c r="B167" s="20" t="s"/>
    </row>
    <row r="168" spans="2:2">
      <c r="B168" s="20" t="s"/>
    </row>
    <row r="169" spans="2:2">
      <c r="B169" s="20" t="s"/>
    </row>
    <row r="170" spans="2:2">
      <c r="B170" s="20" t="s"/>
    </row>
    <row r="171" spans="2:2">
      <c r="B171" s="20" t="s"/>
    </row>
    <row r="172" spans="2:2">
      <c r="B172" s="20" t="s"/>
    </row>
    <row r="173" spans="2:2">
      <c r="B173" s="20" t="s"/>
    </row>
    <row r="174" spans="2:2">
      <c r="B174" s="20" t="s"/>
    </row>
    <row r="175" spans="2:2">
      <c r="B175" s="20" t="s"/>
    </row>
    <row r="176" spans="2:2">
      <c r="B176" s="20" t="s"/>
    </row>
    <row r="177" spans="2:2">
      <c r="B177" s="20" t="s"/>
    </row>
    <row r="178" spans="2:2">
      <c r="B178" s="20" t="s"/>
    </row>
    <row r="179" spans="2:2">
      <c r="B179" s="20" t="s"/>
    </row>
    <row r="180" spans="2:2">
      <c r="B180" s="20" t="s"/>
    </row>
    <row r="181" spans="2:2">
      <c r="B181" s="20" t="s"/>
    </row>
    <row r="182" spans="2:2">
      <c r="B182" s="20" t="s"/>
    </row>
    <row r="183" spans="2:2">
      <c r="B183" s="20" t="s"/>
    </row>
    <row r="184" spans="2:2">
      <c r="B184" s="20" t="s"/>
    </row>
    <row r="185" spans="2:2">
      <c r="B185" s="20" t="s"/>
    </row>
    <row r="186" spans="2:2">
      <c r="B186" s="20" t="s"/>
    </row>
    <row r="187" spans="2:2">
      <c r="B187" s="20" t="s"/>
    </row>
    <row r="188" spans="2:2">
      <c r="B188" s="20" t="s"/>
    </row>
    <row r="189" spans="2:2">
      <c r="B189" s="20" t="s"/>
    </row>
    <row r="190" spans="2:2">
      <c r="B190" s="20" t="s"/>
    </row>
    <row r="191" spans="2:2">
      <c r="B191" s="20" t="s"/>
    </row>
    <row r="192" spans="2:2">
      <c r="B192" s="20" t="s"/>
    </row>
    <row r="193" spans="2:2">
      <c r="B193" s="20" t="s"/>
    </row>
    <row r="194" spans="2:2">
      <c r="B194" s="20" t="s"/>
    </row>
    <row r="195" spans="2:2">
      <c r="B195" s="20" t="s"/>
    </row>
    <row r="196" spans="2:2">
      <c r="B196" s="20" t="s"/>
    </row>
    <row r="197" spans="2:2">
      <c r="B197" s="20" t="s"/>
    </row>
    <row r="198" spans="2:2">
      <c r="B198" s="20" t="s"/>
    </row>
    <row r="199" spans="2:2">
      <c r="B199" s="20" t="s"/>
    </row>
    <row r="200" spans="2:2">
      <c r="B200" s="20" t="s"/>
    </row>
  </sheetData>
  <dataValidations>
    <dataValidation type="list" errorStyle="stop" operator="between" allowBlank="1" showDropDown="0" showInputMessage="1" showErrorMessage="1" prompt="" sqref="B2:B200">
      <formula1>"人物立绘,人物头像,地图,对话背景,图标,"</formula1>
    </dataValidation>
  </dataValidations>
</worksheet>
</file>

<file path=xl/worksheets/sheet12.xml><?xml version="1.0" encoding="utf-8"?>
<worksheet xmlns="http://schemas.openxmlformats.org/spreadsheetml/2006/main">
  <sheetPr codeName="CG">
    <tabColor/>
  </sheetPr>
  <dimension ref="F200"/>
  <sheetViews>
    <sheetView showGridLines="1" workbookViewId="0"/>
  </sheetViews>
  <sheetFormatPr baseColWidth="13" defaultRowHeight="18" customHeight="1"/>
  <cols>
    <col min="1" max="1" width="21.3125" customWidth="1"/>
    <col min="2" max="2" width="22.1211" customWidth="1"/>
    <col min="4" max="4" width="28.4609" style="75" customWidth="1"/>
    <col min="5" max="5" width="21.582" style="75" customWidth="1"/>
    <col min="6" max="6" width="47.2109" style="75" customWidth="1"/>
  </cols>
  <sheetData>
    <row r="1" spans="2:6">
      <c r="B1" s="4" t="s">
        <v>445</v>
      </c>
      <c r="C1" s="4" t="s">
        <v>877</v>
      </c>
      <c r="D1" s="6" t="s">
        <v>878</v>
      </c>
      <c r="E1" s="6" t="s">
        <v>712</v>
      </c>
      <c r="F1" s="6" t="s">
        <v>879</v>
      </c>
    </row>
    <row r="2" spans="1:6">
      <c r="A2" s="4" t="s">
        <v>880</v>
      </c>
      <c r="B2" s="4" t="s">
        <v>881</v>
      </c>
      <c r="C2" s="52" t="s">
        <v>136</v>
      </c>
      <c r="D2" s="6" t="str">
        <f>=SUBSTITUTE(A2,"CG","FMS")</f>
        <v>FMS_Test_01</v>
      </c>
      <c r="E2" s="6" t="s">
        <v>883</v>
      </c>
      <c r="F2" s="6" t="str">
        <f>=E2&amp;D2&amp;"."&amp;D2</f>
        <v>/Game/Movies/FMS_Test_01.FMS_Test_01</v>
      </c>
    </row>
    <row r="3" spans="1:6">
      <c r="A3" s="4" t="s">
        <v>885</v>
      </c>
      <c r="B3" s="4" t="s">
        <v>886</v>
      </c>
      <c r="C3" s="52" t="s">
        <v>142</v>
      </c>
      <c r="D3" s="6" t="str">
        <f>=SUBSTITUTE(A3,"CG","FMS")</f>
        <v>FMS_Test_02</v>
      </c>
      <c r="E3" s="6" t="s">
        <v>883</v>
      </c>
      <c r="F3" s="6" t="str">
        <f>=E3&amp;D3&amp;"."&amp;D3</f>
        <v>/Game/Movies/FMS_Test_02.FMS_Test_02</v>
      </c>
    </row>
    <row r="4" spans="3:6">
      <c r="C4" s="52" t="s"/>
      <c r="D4" s="6" t="str">
        <f>=SUBSTITUTE(A4,"CG","FMS")</f>
        <v/>
      </c>
      <c r="E4" s="6" t="s">
        <v>883</v>
      </c>
      <c r="F4" s="6" t="str">
        <f>=E4&amp;D4&amp;"."&amp;D4</f>
        <v>/Game/Movies/.</v>
      </c>
    </row>
    <row r="5" spans="3:6">
      <c r="C5" s="52" t="s"/>
      <c r="D5" s="6" t="str">
        <f>=SUBSTITUTE(A5,"CG","FMS")</f>
        <v/>
      </c>
      <c r="E5" s="6" t="s">
        <v>883</v>
      </c>
      <c r="F5" s="6" t="str">
        <f>=E5&amp;D5&amp;"."&amp;D5</f>
        <v>/Game/Movies/.</v>
      </c>
    </row>
    <row r="6" spans="3:6">
      <c r="C6" s="52" t="s"/>
      <c r="D6" s="6" t="str">
        <f>=SUBSTITUTE(A6,"CG","FMS")</f>
        <v/>
      </c>
      <c r="E6" s="6" t="s">
        <v>883</v>
      </c>
      <c r="F6" s="6" t="str">
        <f>=E6&amp;D6&amp;"."&amp;D6</f>
        <v>/Game/Movies/.</v>
      </c>
    </row>
    <row r="7" spans="3:6">
      <c r="C7" s="52" t="s"/>
      <c r="D7" s="6" t="str">
        <f>=SUBSTITUTE(A7,"CG","FMS")</f>
        <v/>
      </c>
      <c r="E7" s="6" t="s">
        <v>883</v>
      </c>
      <c r="F7" s="6" t="str">
        <f>=E7&amp;D7&amp;"."&amp;D7</f>
        <v>/Game/Movies/.</v>
      </c>
    </row>
    <row r="8" spans="3:6">
      <c r="C8" s="52" t="s"/>
      <c r="D8" s="6" t="str">
        <f>=SUBSTITUTE(A8,"CG","FMS")</f>
        <v/>
      </c>
      <c r="E8" s="6" t="s">
        <v>883</v>
      </c>
      <c r="F8" s="6" t="str">
        <f>=E8&amp;D8&amp;"."&amp;D8</f>
        <v>/Game/Movies/.</v>
      </c>
    </row>
    <row r="9" spans="3:6">
      <c r="C9" s="52" t="s"/>
      <c r="D9" s="6" t="str">
        <f>=SUBSTITUTE(A9,"CG","FMS")</f>
        <v/>
      </c>
      <c r="E9" s="6" t="s">
        <v>883</v>
      </c>
      <c r="F9" s="6" t="str">
        <f>=E9&amp;D9&amp;"."&amp;D9</f>
        <v>/Game/Movies/.</v>
      </c>
    </row>
    <row r="10" spans="3:6">
      <c r="C10" s="52" t="s"/>
      <c r="D10" s="6" t="str">
        <f>=SUBSTITUTE(A10,"CG","FMS")</f>
        <v/>
      </c>
      <c r="E10" s="6" t="s">
        <v>883</v>
      </c>
      <c r="F10" s="6" t="str">
        <f>=E10&amp;D10&amp;"."&amp;D10</f>
        <v>/Game/Movies/.</v>
      </c>
    </row>
    <row r="11" spans="3:6">
      <c r="C11" s="52" t="s"/>
      <c r="D11" s="6" t="str">
        <f>=SUBSTITUTE(A11,"CG","FMS")</f>
        <v/>
      </c>
      <c r="E11" s="6" t="s">
        <v>883</v>
      </c>
      <c r="F11" s="6" t="str">
        <f>=E11&amp;D11&amp;"."&amp;D11</f>
        <v>/Game/Movies/.</v>
      </c>
    </row>
    <row r="12" spans="3:6">
      <c r="C12" s="52" t="s"/>
      <c r="D12" s="6" t="str">
        <f>=SUBSTITUTE(A12,"CG","FMS")</f>
        <v/>
      </c>
      <c r="E12" s="6" t="s">
        <v>883</v>
      </c>
      <c r="F12" s="6" t="str">
        <f>=E12&amp;D12&amp;"."&amp;D12</f>
        <v>/Game/Movies/.</v>
      </c>
    </row>
    <row r="13" spans="3:6">
      <c r="C13" s="52" t="s"/>
      <c r="D13" s="6" t="str">
        <f>=SUBSTITUTE(A13,"CG","FMS")</f>
        <v/>
      </c>
      <c r="E13" s="6" t="s">
        <v>883</v>
      </c>
      <c r="F13" s="6" t="str">
        <f>=E13&amp;D13&amp;"."&amp;D13</f>
        <v>/Game/Movies/.</v>
      </c>
    </row>
    <row r="14" spans="3:6">
      <c r="C14" s="52" t="s"/>
      <c r="D14" s="6" t="str">
        <f>=SUBSTITUTE(A14,"CG","FMS")</f>
        <v/>
      </c>
      <c r="E14" s="6" t="s">
        <v>883</v>
      </c>
      <c r="F14" s="6" t="str">
        <f>=E14&amp;D14&amp;"."&amp;D14</f>
        <v>/Game/Movies/.</v>
      </c>
    </row>
    <row r="15" spans="3:6">
      <c r="C15" s="52" t="s"/>
      <c r="D15" s="6" t="str">
        <f>=SUBSTITUTE(A15,"CG","FMS")</f>
        <v/>
      </c>
      <c r="E15" s="6" t="s">
        <v>883</v>
      </c>
      <c r="F15" s="6" t="str">
        <f>=E15&amp;D15&amp;"."&amp;D15</f>
        <v>/Game/Movies/.</v>
      </c>
    </row>
    <row r="16" spans="3:6">
      <c r="C16" s="52" t="s"/>
      <c r="D16" s="6" t="str">
        <f>=SUBSTITUTE(A16,"CG","FMS")</f>
        <v/>
      </c>
      <c r="E16" s="6" t="s">
        <v>883</v>
      </c>
      <c r="F16" s="6" t="str">
        <f>=E16&amp;D16&amp;"."&amp;D16</f>
        <v>/Game/Movies/.</v>
      </c>
    </row>
    <row r="17" spans="3:6">
      <c r="C17" s="52" t="s"/>
      <c r="D17" s="6" t="str">
        <f>=SUBSTITUTE(A17,"CG","FMS")</f>
        <v/>
      </c>
      <c r="E17" s="6" t="s">
        <v>883</v>
      </c>
      <c r="F17" s="6" t="str">
        <f>=E17&amp;D17&amp;"."&amp;D17</f>
        <v>/Game/Movies/.</v>
      </c>
    </row>
    <row r="18" spans="3:6">
      <c r="C18" s="52" t="s"/>
      <c r="D18" s="6" t="str">
        <f>=SUBSTITUTE(A18,"CG","FMS")</f>
        <v/>
      </c>
      <c r="E18" s="6" t="s">
        <v>883</v>
      </c>
      <c r="F18" s="6" t="str">
        <f>=E18&amp;D18&amp;"."&amp;D18</f>
        <v>/Game/Movies/.</v>
      </c>
    </row>
    <row r="19" spans="3:6">
      <c r="C19" s="52" t="s"/>
      <c r="D19" s="6" t="str">
        <f>=SUBSTITUTE(A19,"CG","FMS")</f>
        <v/>
      </c>
      <c r="E19" s="6" t="s">
        <v>883</v>
      </c>
      <c r="F19" s="6" t="str">
        <f>=E19&amp;D19&amp;"."&amp;D19</f>
        <v>/Game/Movies/.</v>
      </c>
    </row>
    <row r="20" spans="3:6">
      <c r="C20" s="52" t="s"/>
      <c r="D20" s="6" t="str">
        <f>=SUBSTITUTE(A20,"CG","FMS")</f>
        <v/>
      </c>
      <c r="E20" s="6" t="s">
        <v>883</v>
      </c>
      <c r="F20" s="6" t="str">
        <f>=E20&amp;D20&amp;"."&amp;D20</f>
        <v>/Game/Movies/.</v>
      </c>
    </row>
    <row r="21" spans="3:6">
      <c r="C21" s="52" t="s"/>
      <c r="D21" s="6" t="str">
        <f>=SUBSTITUTE(A21,"CG","FMS")</f>
        <v/>
      </c>
      <c r="E21" s="6" t="s">
        <v>883</v>
      </c>
      <c r="F21" s="6" t="str">
        <f>=E21&amp;D21&amp;"."&amp;D21</f>
        <v>/Game/Movies/.</v>
      </c>
    </row>
    <row r="22" spans="3:6">
      <c r="C22" s="52" t="s"/>
      <c r="D22" s="6" t="str">
        <f>=SUBSTITUTE(A22,"CG","FMS")</f>
        <v/>
      </c>
      <c r="E22" s="6" t="s">
        <v>883</v>
      </c>
      <c r="F22" s="6" t="str">
        <f>=E22&amp;D22&amp;"."&amp;D22</f>
        <v>/Game/Movies/.</v>
      </c>
    </row>
    <row r="23" spans="3:6">
      <c r="C23" s="52" t="s"/>
      <c r="D23" s="6" t="str">
        <f>=SUBSTITUTE(A23,"CG","FMS")</f>
        <v/>
      </c>
      <c r="E23" s="6" t="s">
        <v>883</v>
      </c>
      <c r="F23" s="6" t="str">
        <f>=E23&amp;D23&amp;"."&amp;D23</f>
        <v>/Game/Movies/.</v>
      </c>
    </row>
    <row r="24" spans="3:6">
      <c r="C24" s="52" t="s"/>
      <c r="D24" s="6" t="str">
        <f>=SUBSTITUTE(A24,"CG","FMS")</f>
        <v/>
      </c>
      <c r="E24" s="6" t="s">
        <v>883</v>
      </c>
      <c r="F24" s="6" t="str">
        <f>=E24&amp;D24&amp;"."&amp;D24</f>
        <v>/Game/Movies/.</v>
      </c>
    </row>
    <row r="25" spans="3:6">
      <c r="C25" s="52" t="s"/>
      <c r="D25" s="6" t="str">
        <f>=SUBSTITUTE(A25,"CG","FMS")</f>
        <v/>
      </c>
      <c r="E25" s="6" t="s">
        <v>883</v>
      </c>
      <c r="F25" s="6" t="str">
        <f>=E25&amp;D25&amp;"."&amp;D25</f>
        <v>/Game/Movies/.</v>
      </c>
    </row>
    <row r="26" spans="3:6">
      <c r="C26" s="52" t="s"/>
      <c r="D26" s="6" t="str">
        <f>=SUBSTITUTE(A26,"CG","FMS")</f>
        <v/>
      </c>
      <c r="E26" s="6" t="s">
        <v>883</v>
      </c>
      <c r="F26" s="6" t="str">
        <f>=E26&amp;D26&amp;"."&amp;D26</f>
        <v>/Game/Movies/.</v>
      </c>
    </row>
    <row r="27" spans="3:6">
      <c r="C27" s="52" t="s"/>
      <c r="D27" s="6" t="str">
        <f>=SUBSTITUTE(A27,"CG","FMS")</f>
        <v/>
      </c>
      <c r="E27" s="6" t="s">
        <v>883</v>
      </c>
      <c r="F27" s="6" t="str">
        <f>=E27&amp;D27&amp;"."&amp;D27</f>
        <v>/Game/Movies/.</v>
      </c>
    </row>
    <row r="28" spans="3:6">
      <c r="C28" s="52" t="s"/>
      <c r="D28" s="6" t="str">
        <f>=SUBSTITUTE(A28,"CG","FMS")</f>
        <v/>
      </c>
      <c r="E28" s="6" t="s">
        <v>883</v>
      </c>
      <c r="F28" s="6" t="str">
        <f>=E28&amp;D28&amp;"."&amp;D28</f>
        <v>/Game/Movies/.</v>
      </c>
    </row>
    <row r="29" spans="3:6">
      <c r="C29" s="52" t="s"/>
      <c r="D29" s="6" t="str">
        <f>=SUBSTITUTE(A29,"CG","FMS")</f>
        <v/>
      </c>
      <c r="E29" s="6" t="s">
        <v>883</v>
      </c>
      <c r="F29" s="6" t="str">
        <f>=E29&amp;D29&amp;"."&amp;D29</f>
        <v>/Game/Movies/.</v>
      </c>
    </row>
    <row r="30" spans="3:6">
      <c r="C30" s="52" t="s"/>
      <c r="D30" s="6" t="str">
        <f>=SUBSTITUTE(A30,"CG","FMS")</f>
        <v/>
      </c>
      <c r="E30" s="6" t="s">
        <v>883</v>
      </c>
      <c r="F30" s="6" t="str">
        <f>=E30&amp;D30&amp;"."&amp;D30</f>
        <v>/Game/Movies/.</v>
      </c>
    </row>
    <row r="31" spans="3:6">
      <c r="C31" s="52" t="s"/>
      <c r="D31" s="6" t="str">
        <f>=SUBSTITUTE(A31,"CG","FMS")</f>
        <v/>
      </c>
      <c r="E31" s="6" t="s">
        <v>883</v>
      </c>
      <c r="F31" s="6" t="str">
        <f>=E31&amp;D31&amp;"."&amp;D31</f>
        <v>/Game/Movies/.</v>
      </c>
    </row>
    <row r="32" spans="3:6">
      <c r="C32" s="52" t="s"/>
      <c r="D32" s="6" t="str">
        <f>=SUBSTITUTE(A32,"CG","FMS")</f>
        <v/>
      </c>
      <c r="E32" s="6" t="s">
        <v>883</v>
      </c>
      <c r="F32" s="6" t="str">
        <f>=E32&amp;D32&amp;"."&amp;D32</f>
        <v>/Game/Movies/.</v>
      </c>
    </row>
    <row r="33" spans="3:6">
      <c r="C33" s="52" t="s"/>
      <c r="D33" s="6" t="str">
        <f>=SUBSTITUTE(A33,"CG","FMS")</f>
        <v/>
      </c>
      <c r="E33" s="6" t="s">
        <v>883</v>
      </c>
      <c r="F33" s="6" t="str">
        <f>=E33&amp;D33&amp;"."&amp;D33</f>
        <v>/Game/Movies/.</v>
      </c>
    </row>
    <row r="34" spans="3:3">
      <c r="C34" s="52" t="s"/>
    </row>
    <row r="35" spans="3:3">
      <c r="C35" s="52" t="s"/>
    </row>
    <row r="36" spans="3:3">
      <c r="C36" s="52" t="s"/>
    </row>
    <row r="37" spans="3:3">
      <c r="C37" s="52" t="s"/>
    </row>
    <row r="38" spans="3:3">
      <c r="C38" s="52" t="s"/>
    </row>
    <row r="39" spans="3:3">
      <c r="C39" s="52" t="s"/>
    </row>
    <row r="40" spans="3:3">
      <c r="C40" s="52" t="s"/>
    </row>
    <row r="41" spans="3:3">
      <c r="C41" s="52" t="s"/>
    </row>
    <row r="42" spans="3:3">
      <c r="C42" s="52" t="s"/>
    </row>
    <row r="43" spans="3:3">
      <c r="C43" s="52" t="s"/>
    </row>
    <row r="44" spans="3:3">
      <c r="C44" s="52" t="s"/>
    </row>
    <row r="45" spans="3:3">
      <c r="C45" s="52" t="s"/>
    </row>
    <row r="46" spans="3:3">
      <c r="C46" s="52" t="s"/>
    </row>
    <row r="47" spans="3:3">
      <c r="C47" s="52" t="s"/>
    </row>
    <row r="48" spans="3:3">
      <c r="C48" s="52" t="s"/>
    </row>
    <row r="49" spans="3:3">
      <c r="C49" s="52" t="s"/>
    </row>
    <row r="50" spans="3:3">
      <c r="C50" s="52" t="s"/>
    </row>
    <row r="51" spans="3:3">
      <c r="C51" s="52" t="s"/>
    </row>
    <row r="52" spans="3:3">
      <c r="C52" s="52" t="s"/>
    </row>
    <row r="53" spans="3:3">
      <c r="C53" s="52" t="s"/>
    </row>
    <row r="54" spans="3:3">
      <c r="C54" s="52" t="s"/>
    </row>
    <row r="55" spans="3:3">
      <c r="C55" s="52" t="s"/>
    </row>
    <row r="56" spans="3:3">
      <c r="C56" s="52" t="s"/>
    </row>
    <row r="57" spans="3:3">
      <c r="C57" s="52" t="s"/>
    </row>
    <row r="58" spans="3:3">
      <c r="C58" s="52" t="s"/>
    </row>
    <row r="59" spans="3:3">
      <c r="C59" s="52" t="s"/>
    </row>
    <row r="60" spans="3:3">
      <c r="C60" s="52" t="s"/>
    </row>
    <row r="61" spans="3:3">
      <c r="C61" s="52" t="s"/>
    </row>
    <row r="62" spans="3:3">
      <c r="C62" s="52" t="s"/>
    </row>
    <row r="63" spans="3:3">
      <c r="C63" s="52" t="s"/>
    </row>
    <row r="64" spans="3:3">
      <c r="C64" s="52" t="s"/>
    </row>
    <row r="65" spans="3:3">
      <c r="C65" s="52" t="s"/>
    </row>
    <row r="66" spans="3:3">
      <c r="C66" s="52" t="s"/>
    </row>
    <row r="67" spans="3:3">
      <c r="C67" s="52" t="s"/>
    </row>
    <row r="68" spans="3:3">
      <c r="C68" s="52" t="s"/>
    </row>
    <row r="69" spans="3:3">
      <c r="C69" s="52" t="s"/>
    </row>
    <row r="70" spans="3:3">
      <c r="C70" s="52" t="s"/>
    </row>
    <row r="71" spans="3:3">
      <c r="C71" s="52" t="s"/>
    </row>
    <row r="72" spans="3:3">
      <c r="C72" s="52" t="s"/>
    </row>
    <row r="73" spans="3:3">
      <c r="C73" s="52" t="s"/>
    </row>
    <row r="74" spans="3:3">
      <c r="C74" s="52" t="s"/>
    </row>
    <row r="75" spans="3:3">
      <c r="C75" s="52" t="s"/>
    </row>
    <row r="76" spans="3:3">
      <c r="C76" s="52" t="s"/>
    </row>
    <row r="77" spans="3:3">
      <c r="C77" s="52" t="s"/>
    </row>
    <row r="78" spans="3:3">
      <c r="C78" s="52" t="s"/>
    </row>
    <row r="79" spans="3:3">
      <c r="C79" s="52" t="s"/>
    </row>
    <row r="80" spans="3:3">
      <c r="C80" s="52" t="s"/>
    </row>
    <row r="81" spans="3:3">
      <c r="C81" s="52" t="s"/>
    </row>
    <row r="82" spans="3:3">
      <c r="C82" s="52" t="s"/>
    </row>
    <row r="83" spans="3:3">
      <c r="C83" s="52" t="s"/>
    </row>
    <row r="84" spans="3:3">
      <c r="C84" s="52" t="s"/>
    </row>
    <row r="85" spans="3:3">
      <c r="C85" s="52" t="s"/>
    </row>
    <row r="86" spans="3:3">
      <c r="C86" s="52" t="s"/>
    </row>
    <row r="87" spans="3:3">
      <c r="C87" s="52" t="s"/>
    </row>
    <row r="88" spans="3:3">
      <c r="C88" s="52" t="s"/>
    </row>
    <row r="89" spans="3:3">
      <c r="C89" s="52" t="s"/>
    </row>
    <row r="90" spans="3:3">
      <c r="C90" s="52" t="s"/>
    </row>
    <row r="91" spans="3:3">
      <c r="C91" s="52" t="s"/>
    </row>
    <row r="92" spans="3:3">
      <c r="C92" s="52" t="s"/>
    </row>
    <row r="93" spans="3:3">
      <c r="C93" s="52" t="s"/>
    </row>
    <row r="94" spans="3:3">
      <c r="C94" s="52" t="s"/>
    </row>
    <row r="95" spans="3:3">
      <c r="C95" s="52" t="s"/>
    </row>
    <row r="96" spans="3:3">
      <c r="C96" s="52" t="s"/>
    </row>
    <row r="97" spans="3:3">
      <c r="C97" s="52" t="s"/>
    </row>
    <row r="98" spans="3:3">
      <c r="C98" s="52" t="s"/>
    </row>
    <row r="99" spans="3:3">
      <c r="C99" s="52" t="s"/>
    </row>
    <row r="100" spans="3:3">
      <c r="C100" s="52" t="s"/>
    </row>
    <row r="101" spans="3:3">
      <c r="C101" s="52" t="s"/>
    </row>
    <row r="102" spans="3:3">
      <c r="C102" s="52" t="s"/>
    </row>
    <row r="103" spans="3:3">
      <c r="C103" s="52" t="s"/>
    </row>
    <row r="104" spans="3:3">
      <c r="C104" s="52" t="s"/>
    </row>
    <row r="105" spans="3:3">
      <c r="C105" s="52" t="s"/>
    </row>
    <row r="106" spans="3:3">
      <c r="C106" s="52" t="s"/>
    </row>
    <row r="107" spans="3:3">
      <c r="C107" s="52" t="s"/>
    </row>
    <row r="108" spans="3:3">
      <c r="C108" s="52" t="s"/>
    </row>
    <row r="109" spans="3:3">
      <c r="C109" s="52" t="s"/>
    </row>
    <row r="110" spans="3:3">
      <c r="C110" s="52" t="s"/>
    </row>
    <row r="111" spans="3:3">
      <c r="C111" s="52" t="s"/>
    </row>
    <row r="112" spans="3:3">
      <c r="C112" s="52" t="s"/>
    </row>
    <row r="113" spans="3:3">
      <c r="C113" s="52" t="s"/>
    </row>
    <row r="114" spans="3:3">
      <c r="C114" s="52" t="s"/>
    </row>
    <row r="115" spans="3:3">
      <c r="C115" s="52" t="s"/>
    </row>
    <row r="116" spans="3:3">
      <c r="C116" s="52" t="s"/>
    </row>
    <row r="117" spans="3:3">
      <c r="C117" s="52" t="s"/>
    </row>
    <row r="118" spans="3:3">
      <c r="C118" s="52" t="s"/>
    </row>
    <row r="119" spans="3:3">
      <c r="C119" s="52" t="s"/>
    </row>
    <row r="120" spans="3:3">
      <c r="C120" s="52" t="s"/>
    </row>
    <row r="121" spans="3:3">
      <c r="C121" s="52" t="s"/>
    </row>
    <row r="122" spans="3:3">
      <c r="C122" s="52" t="s"/>
    </row>
    <row r="123" spans="3:3">
      <c r="C123" s="52" t="s"/>
    </row>
    <row r="124" spans="3:3">
      <c r="C124" s="52" t="s"/>
    </row>
    <row r="125" spans="3:3">
      <c r="C125" s="52" t="s"/>
    </row>
    <row r="126" spans="3:3">
      <c r="C126" s="52" t="s"/>
    </row>
    <row r="127" spans="3:3">
      <c r="C127" s="52" t="s"/>
    </row>
    <row r="128" spans="3:3">
      <c r="C128" s="52" t="s"/>
    </row>
    <row r="129" spans="3:3">
      <c r="C129" s="52" t="s"/>
    </row>
    <row r="130" spans="3:3">
      <c r="C130" s="52" t="s"/>
    </row>
    <row r="131" spans="3:3">
      <c r="C131" s="52" t="s"/>
    </row>
    <row r="132" spans="3:3">
      <c r="C132" s="52" t="s"/>
    </row>
    <row r="133" spans="3:3">
      <c r="C133" s="52" t="s"/>
    </row>
    <row r="134" spans="3:3">
      <c r="C134" s="52" t="s"/>
    </row>
    <row r="135" spans="3:3">
      <c r="C135" s="52" t="s"/>
    </row>
    <row r="136" spans="3:3">
      <c r="C136" s="52" t="s"/>
    </row>
    <row r="137" spans="3:3">
      <c r="C137" s="52" t="s"/>
    </row>
    <row r="138" spans="3:3">
      <c r="C138" s="52" t="s"/>
    </row>
    <row r="139" spans="3:3">
      <c r="C139" s="52" t="s"/>
    </row>
    <row r="140" spans="3:3">
      <c r="C140" s="52" t="s"/>
    </row>
    <row r="141" spans="3:3">
      <c r="C141" s="52" t="s"/>
    </row>
    <row r="142" spans="3:3">
      <c r="C142" s="52" t="s"/>
    </row>
    <row r="143" spans="3:3">
      <c r="C143" s="52" t="s"/>
    </row>
    <row r="144" spans="3:3">
      <c r="C144" s="52" t="s"/>
    </row>
    <row r="145" spans="3:3">
      <c r="C145" s="52" t="s"/>
    </row>
    <row r="146" spans="3:3">
      <c r="C146" s="52" t="s"/>
    </row>
    <row r="147" spans="3:3">
      <c r="C147" s="52" t="s"/>
    </row>
    <row r="148" spans="3:3">
      <c r="C148" s="52" t="s"/>
    </row>
    <row r="149" spans="3:3">
      <c r="C149" s="52" t="s"/>
    </row>
    <row r="150" spans="3:3">
      <c r="C150" s="52" t="s"/>
    </row>
    <row r="151" spans="3:3">
      <c r="C151" s="52" t="s"/>
    </row>
    <row r="152" spans="3:3">
      <c r="C152" s="52" t="s"/>
    </row>
    <row r="153" spans="3:3">
      <c r="C153" s="52" t="s"/>
    </row>
    <row r="154" spans="3:3">
      <c r="C154" s="52" t="s"/>
    </row>
    <row r="155" spans="3:3">
      <c r="C155" s="52" t="s"/>
    </row>
    <row r="156" spans="3:3">
      <c r="C156" s="52" t="s"/>
    </row>
    <row r="157" spans="3:3">
      <c r="C157" s="52" t="s"/>
    </row>
    <row r="158" spans="3:3">
      <c r="C158" s="52" t="s"/>
    </row>
    <row r="159" spans="3:3">
      <c r="C159" s="52" t="s"/>
    </row>
    <row r="160" spans="3:3">
      <c r="C160" s="52" t="s"/>
    </row>
    <row r="161" spans="3:3">
      <c r="C161" s="52" t="s"/>
    </row>
    <row r="162" spans="3:3">
      <c r="C162" s="52" t="s"/>
    </row>
    <row r="163" spans="3:3">
      <c r="C163" s="52" t="s"/>
    </row>
    <row r="164" spans="3:3">
      <c r="C164" s="52" t="s"/>
    </row>
    <row r="165" spans="3:3">
      <c r="C165" s="52" t="s"/>
    </row>
    <row r="166" spans="3:3">
      <c r="C166" s="52" t="s"/>
    </row>
    <row r="167" spans="3:3">
      <c r="C167" s="52" t="s"/>
    </row>
    <row r="168" spans="3:3">
      <c r="C168" s="52" t="s"/>
    </row>
    <row r="169" spans="3:3">
      <c r="C169" s="52" t="s"/>
    </row>
    <row r="170" spans="3:3">
      <c r="C170" s="52" t="s"/>
    </row>
    <row r="171" spans="3:3">
      <c r="C171" s="52" t="s"/>
    </row>
    <row r="172" spans="3:3">
      <c r="C172" s="52" t="s"/>
    </row>
    <row r="173" spans="3:3">
      <c r="C173" s="52" t="s"/>
    </row>
    <row r="174" spans="3:3">
      <c r="C174" s="52" t="s"/>
    </row>
    <row r="175" spans="3:3">
      <c r="C175" s="52" t="s"/>
    </row>
    <row r="176" spans="3:3">
      <c r="C176" s="52" t="s"/>
    </row>
    <row r="177" spans="3:3">
      <c r="C177" s="52" t="s"/>
    </row>
    <row r="178" spans="3:3">
      <c r="C178" s="52" t="s"/>
    </row>
    <row r="179" spans="3:3">
      <c r="C179" s="52" t="s"/>
    </row>
    <row r="180" spans="3:3">
      <c r="C180" s="52" t="s"/>
    </row>
    <row r="181" spans="3:3">
      <c r="C181" s="52" t="s"/>
    </row>
    <row r="182" spans="3:3">
      <c r="C182" s="52" t="s"/>
    </row>
    <row r="183" spans="3:3">
      <c r="C183" s="52" t="s"/>
    </row>
    <row r="184" spans="3:3">
      <c r="C184" s="52" t="s"/>
    </row>
    <row r="185" spans="3:3">
      <c r="C185" s="52" t="s"/>
    </row>
    <row r="186" spans="3:3">
      <c r="C186" s="52" t="s"/>
    </row>
    <row r="187" spans="3:3">
      <c r="C187" s="52" t="s"/>
    </row>
    <row r="188" spans="3:3">
      <c r="C188" s="52" t="s"/>
    </row>
    <row r="189" spans="3:3">
      <c r="C189" s="52" t="s"/>
    </row>
    <row r="190" spans="3:3">
      <c r="C190" s="52" t="s"/>
    </row>
    <row r="191" spans="3:3">
      <c r="C191" s="52" t="s"/>
    </row>
    <row r="192" spans="3:3">
      <c r="C192" s="52" t="s"/>
    </row>
    <row r="193" spans="3:3">
      <c r="C193" s="52" t="s"/>
    </row>
    <row r="194" spans="3:3">
      <c r="C194" s="52" t="s"/>
    </row>
    <row r="195" spans="3:3">
      <c r="C195" s="52" t="s"/>
    </row>
    <row r="196" spans="3:3">
      <c r="C196" s="52" t="s"/>
    </row>
    <row r="197" spans="3:3">
      <c r="C197" s="52" t="s"/>
    </row>
    <row r="198" spans="3:3">
      <c r="C198" s="52" t="s"/>
    </row>
    <row r="199" spans="3:3">
      <c r="C199" s="52" t="s"/>
    </row>
    <row r="200" spans="3:3">
      <c r="C200" s="52" t="s"/>
    </row>
  </sheetData>
  <dataValidations>
    <dataValidation type="list" errorStyle="stop" operator="between" allowBlank="1" showDropDown="0" showInputMessage="1" showErrorMessage="1" prompt="" sqref="C2:C200">
      <formula1>人物!$A:$A</formula1>
    </dataValidation>
  </dataValidations>
</worksheet>
</file>

<file path=xl/worksheets/sheet13.xml><?xml version="1.0" encoding="utf-8"?>
<worksheet xmlns="http://schemas.openxmlformats.org/spreadsheetml/2006/main">
  <sheetPr codeName="物品">
    <tabColor/>
  </sheetPr>
  <dimension ref="H200"/>
  <sheetViews>
    <sheetView showGridLines="1" workbookViewId="0"/>
  </sheetViews>
  <sheetFormatPr baseColWidth="13" defaultRowHeight="18" customHeight="1"/>
  <cols>
    <col min="1" max="1" width="24.0117" customWidth="1"/>
    <col min="2" max="2" width="23.0625" customWidth="1"/>
    <col min="3" max="3" width="28.5938" customWidth="1"/>
    <col min="5" max="5" width="13.6719" style="83"/>
    <col min="6" max="6" width="24.5508" customWidth="1"/>
    <col min="8" max="8" width="13.6719" style="75"/>
  </cols>
  <sheetData>
    <row r="1" spans="2:8">
      <c r="B1" s="4" t="s">
        <v>890</v>
      </c>
      <c r="C1" s="4" t="s">
        <v>891</v>
      </c>
      <c r="D1" s="4" t="s">
        <v>892</v>
      </c>
      <c r="E1" s="53" t="s">
        <v>893</v>
      </c>
      <c r="F1" s="4" t="s">
        <v>894</v>
      </c>
      <c r="G1" s="4" t="s">
        <v>895</v>
      </c>
      <c r="H1" s="6" t="s">
        <v>896</v>
      </c>
    </row>
    <row r="2" spans="3:8">
      <c r="C2" s="54" t="s"/>
      <c r="E2" s="53" t="s"/>
      <c r="H2" s="6" t="str">
        <f>=IF(ISBLANK(F2),"","("&amp;""""&amp;SUBSTITUTE(F2,"
",""""&amp;","&amp;"""")&amp;""""&amp;")")</f>
        <v/>
      </c>
    </row>
    <row r="3" spans="1:8" s="70" customFormat="1">
      <c r="A3" s="6" t="s">
        <v>897</v>
      </c>
      <c r="C3" s="55" t="s"/>
      <c r="E3" s="56" t="s"/>
      <c r="H3" s="6" t="str">
        <f>=IF(ISBLANK(F3),"","("&amp;""""&amp;SUBSTITUTE(F3,"
",""""&amp;","&amp;"""")&amp;""""&amp;")")</f>
        <v/>
      </c>
    </row>
    <row r="4" spans="1:8">
      <c r="A4" s="4" t="s">
        <v>898</v>
      </c>
      <c r="B4" s="4" t="s">
        <v>899</v>
      </c>
      <c r="C4" s="54" t="s">
        <v>900</v>
      </c>
      <c r="D4" s="57" t="s">
        <v>363</v>
      </c>
      <c r="E4" s="53">
        <v>1</v>
      </c>
      <c r="H4" s="6" t="str">
        <f>=IF(ISBLANK(F4),"","("&amp;""""&amp;SUBSTITUTE(F4,"
",""""&amp;","&amp;"""")&amp;""""&amp;")")</f>
        <v/>
      </c>
    </row>
    <row r="5" spans="3:8">
      <c r="C5" s="54" t="s"/>
      <c r="H5" s="6" t="str">
        <f>=IF(ISBLANK(F5),"","("&amp;""""&amp;SUBSTITUTE(F5,"
",""""&amp;","&amp;"""")&amp;""""&amp;")")</f>
        <v/>
      </c>
    </row>
    <row r="6" spans="1:8" s="71" customFormat="1">
      <c r="A6" s="8" t="s">
        <v>901</v>
      </c>
      <c r="C6" s="20" t="s"/>
      <c r="E6" s="58" t="s"/>
      <c r="H6" s="6" t="str">
        <f>=IF(ISBLANK(F6),"","("&amp;""""&amp;SUBSTITUTE(F6,"
",""""&amp;","&amp;"""")&amp;""""&amp;")")</f>
        <v/>
      </c>
    </row>
    <row r="7" spans="1:8" s="81" customFormat="1">
      <c r="A7" s="57" t="s">
        <v>902</v>
      </c>
      <c r="B7" s="57" t="s">
        <v>903</v>
      </c>
      <c r="C7" s="59" t="s">
        <v>904</v>
      </c>
      <c r="D7" s="57" t="s">
        <v>363</v>
      </c>
      <c r="E7" s="60">
        <v>1</v>
      </c>
      <c r="F7" s="57" t="s">
        <v>905</v>
      </c>
      <c r="H7" s="6" t="str">
        <f>=IF(ISBLANK(F7),"","("&amp;""""&amp;SUBSTITUTE(F7,"
",""""&amp;","&amp;"""")&amp;""""&amp;")")</f>
        <v>("背包# Item_Coin+1")</v>
      </c>
    </row>
    <row r="8" spans="1:8" s="81" customFormat="1">
      <c r="A8" s="57" t="s">
        <v>907</v>
      </c>
      <c r="B8" s="57" t="s">
        <v>908</v>
      </c>
      <c r="C8" s="59" t="s">
        <v>904</v>
      </c>
      <c r="D8" s="57" t="s">
        <v>363</v>
      </c>
      <c r="E8" s="60">
        <v>10</v>
      </c>
      <c r="F8" s="57" t="s">
        <v>909</v>
      </c>
      <c r="H8" s="6" t="str">
        <f>=IF(ISBLANK(F8),"","("&amp;""""&amp;SUBSTITUTE(F8,"
",""""&amp;","&amp;"""")&amp;""""&amp;")")</f>
        <v>("背包# Item_Coin+10")</v>
      </c>
    </row>
    <row r="9" spans="1:8" s="81" customFormat="1">
      <c r="A9" s="57" t="s">
        <v>911</v>
      </c>
      <c r="B9" s="57" t="s">
        <v>912</v>
      </c>
      <c r="C9" s="59" t="s">
        <v>904</v>
      </c>
      <c r="D9" s="57" t="s">
        <v>363</v>
      </c>
      <c r="E9" s="60">
        <v>100</v>
      </c>
      <c r="F9" s="57" t="s">
        <v>80</v>
      </c>
      <c r="H9" s="6" t="str">
        <f>=IF(ISBLANK(F9),"","("&amp;""""&amp;SUBSTITUTE(F9,"
",""""&amp;","&amp;"""")&amp;""""&amp;")")</f>
        <v>("背包# Item_Coin+100")</v>
      </c>
    </row>
    <row r="10" spans="1:8" s="81" customFormat="1">
      <c r="A10" s="57" t="s">
        <v>914</v>
      </c>
      <c r="B10" s="57" t="s">
        <v>915</v>
      </c>
      <c r="C10" s="59" t="s">
        <v>904</v>
      </c>
      <c r="D10" s="57" t="s">
        <v>363</v>
      </c>
      <c r="E10" s="60">
        <v>1000</v>
      </c>
      <c r="F10" s="57" t="s">
        <v>916</v>
      </c>
      <c r="H10" s="6" t="str">
        <f>=IF(ISBLANK(F10),"","("&amp;""""&amp;SUBSTITUTE(F10,"
",""""&amp;","&amp;"""")&amp;""""&amp;")")</f>
        <v>("背包# Item_Coin+1000")</v>
      </c>
    </row>
    <row r="11" spans="1:8" s="81" customFormat="1">
      <c r="A11" s="57" t="s">
        <v>918</v>
      </c>
      <c r="B11" s="57" t="s">
        <v>919</v>
      </c>
      <c r="C11" s="59" t="s">
        <v>904</v>
      </c>
      <c r="D11" s="57" t="s">
        <v>363</v>
      </c>
      <c r="E11" s="60">
        <v>10000</v>
      </c>
      <c r="F11" s="57" t="s">
        <v>920</v>
      </c>
      <c r="H11" s="6" t="str">
        <f>=IF(ISBLANK(F11),"","("&amp;""""&amp;SUBSTITUTE(F11,"
",""""&amp;","&amp;"""")&amp;""""&amp;")")</f>
        <v>("背包# Item_Coin+10000")</v>
      </c>
    </row>
    <row r="12" spans="1:8" s="81" customFormat="1">
      <c r="A12" s="57" t="s">
        <v>922</v>
      </c>
      <c r="B12" s="57" t="s">
        <v>923</v>
      </c>
      <c r="C12" s="59" t="s">
        <v>904</v>
      </c>
      <c r="D12" s="57" t="s">
        <v>363</v>
      </c>
      <c r="E12" s="60">
        <v>100000</v>
      </c>
      <c r="F12" s="57" t="s">
        <v>924</v>
      </c>
      <c r="H12" s="6" t="str">
        <f>=IF(ISBLANK(F12),"","("&amp;""""&amp;SUBSTITUTE(F12,"
",""""&amp;","&amp;"""")&amp;""""&amp;")")</f>
        <v>("背包# Item_Coin+100000")</v>
      </c>
    </row>
    <row r="13" spans="1:8" s="81" customFormat="1">
      <c r="A13" s="57" t="s">
        <v>926</v>
      </c>
      <c r="B13" s="57" t="s">
        <v>927</v>
      </c>
      <c r="C13" s="59" t="s">
        <v>904</v>
      </c>
      <c r="D13" s="57" t="s">
        <v>363</v>
      </c>
      <c r="E13" s="60">
        <v>1000000</v>
      </c>
      <c r="F13" s="57" t="s">
        <v>928</v>
      </c>
      <c r="H13" s="6" t="str">
        <f>=IF(ISBLANK(F13),"","("&amp;""""&amp;SUBSTITUTE(F13,"
",""""&amp;","&amp;"""")&amp;""""&amp;")")</f>
        <v>("背包# Item_Coin+1000000")</v>
      </c>
    </row>
    <row r="14" spans="1:8" s="81" customFormat="1">
      <c r="A14" s="57" t="s">
        <v>930</v>
      </c>
      <c r="B14" s="57" t="s">
        <v>931</v>
      </c>
      <c r="C14" s="59" t="s">
        <v>904</v>
      </c>
      <c r="D14" s="57" t="s">
        <v>363</v>
      </c>
      <c r="E14" s="60">
        <v>10000000</v>
      </c>
      <c r="F14" s="57" t="s">
        <v>932</v>
      </c>
      <c r="H14" s="6" t="str">
        <f>=IF(ISBLANK(F14),"","("&amp;""""&amp;SUBSTITUTE(F14,"
",""""&amp;","&amp;"""")&amp;""""&amp;")")</f>
        <v>("背包# Item_Coin+10000000")</v>
      </c>
    </row>
    <row r="15" spans="1:8" s="81" customFormat="1">
      <c r="A15" s="57" t="s"/>
      <c r="C15" s="59" t="s"/>
      <c r="E15" s="60" t="s"/>
      <c r="H15" s="6" t="str">
        <f>=IF(ISBLANK(F15),"","("&amp;""""&amp;SUBSTITUTE(F15,"
",""""&amp;","&amp;"""")&amp;""""&amp;")")</f>
        <v/>
      </c>
    </row>
    <row r="16" spans="1:8" s="82" customFormat="1">
      <c r="A16" s="61" t="s">
        <v>934</v>
      </c>
      <c r="C16" s="62" t="s"/>
      <c r="E16" s="63" t="s"/>
      <c r="H16" s="6" t="str">
        <f>=IF(ISBLANK(F16),"","("&amp;""""&amp;SUBSTITUTE(F16,"
",""""&amp;","&amp;"""")&amp;""""&amp;")")</f>
        <v/>
      </c>
    </row>
    <row r="17" spans="1:8">
      <c r="A17" s="44" t="s">
        <v>935</v>
      </c>
      <c r="C17" s="54" t="s">
        <v>936</v>
      </c>
      <c r="H17" s="6" t="str">
        <f>=IF(ISBLANK(F17),"","("&amp;""""&amp;SUBSTITUTE(F17,"
",""""&amp;","&amp;"""")&amp;""""&amp;")")</f>
        <v/>
      </c>
    </row>
    <row r="18" spans="1:8">
      <c r="A18" s="44" t="s">
        <v>937</v>
      </c>
      <c r="C18" s="54" t="s">
        <v>936</v>
      </c>
      <c r="H18" s="6" t="str">
        <f>=IF(ISBLANK(F18),"","("&amp;""""&amp;SUBSTITUTE(F18,"
",""""&amp;","&amp;"""")&amp;""""&amp;")")</f>
        <v/>
      </c>
    </row>
    <row r="19" spans="1:8">
      <c r="A19" s="44" t="s">
        <v>938</v>
      </c>
      <c r="C19" s="54" t="s">
        <v>936</v>
      </c>
      <c r="H19" s="6" t="str">
        <f>=IF(ISBLANK(F19),"","("&amp;""""&amp;SUBSTITUTE(F19,"
",""""&amp;","&amp;"""")&amp;""""&amp;")")</f>
        <v/>
      </c>
    </row>
    <row r="20" spans="1:8">
      <c r="A20" s="44" t="s">
        <v>939</v>
      </c>
      <c r="C20" s="54" t="s">
        <v>936</v>
      </c>
      <c r="H20" s="6" t="str">
        <f>=IF(ISBLANK(F20),"","("&amp;""""&amp;SUBSTITUTE(F20,"
",""""&amp;","&amp;"""")&amp;""""&amp;")")</f>
        <v/>
      </c>
    </row>
    <row r="21" spans="1:8">
      <c r="A21" s="44" t="s">
        <v>940</v>
      </c>
      <c r="C21" s="54" t="s">
        <v>936</v>
      </c>
      <c r="H21" s="6" t="str">
        <f>=IF(ISBLANK(F21),"","("&amp;""""&amp;SUBSTITUTE(F21,"
",""""&amp;","&amp;"""")&amp;""""&amp;")")</f>
        <v/>
      </c>
    </row>
    <row r="22" spans="1:8">
      <c r="A22" s="44" t="s">
        <v>941</v>
      </c>
      <c r="C22" s="54" t="s">
        <v>936</v>
      </c>
      <c r="H22" s="6" t="str">
        <f>=IF(ISBLANK(F22),"","("&amp;""""&amp;SUBSTITUTE(F22,"
",""""&amp;","&amp;"""")&amp;""""&amp;")")</f>
        <v/>
      </c>
    </row>
    <row r="23" spans="1:8">
      <c r="A23" s="44" t="s">
        <v>942</v>
      </c>
      <c r="C23" s="54" t="s">
        <v>936</v>
      </c>
      <c r="H23" s="6" t="str">
        <f>=IF(ISBLANK(F23),"","("&amp;""""&amp;SUBSTITUTE(F23,"
",""""&amp;","&amp;"""")&amp;""""&amp;")")</f>
        <v/>
      </c>
    </row>
    <row r="24" spans="1:8">
      <c r="A24" s="44" t="s">
        <v>943</v>
      </c>
      <c r="C24" s="54" t="s">
        <v>936</v>
      </c>
      <c r="H24" s="6" t="str">
        <f>=IF(ISBLANK(F24),"","("&amp;""""&amp;SUBSTITUTE(F24,"
",""""&amp;","&amp;"""")&amp;""""&amp;")")</f>
        <v/>
      </c>
    </row>
    <row r="25" spans="1:8">
      <c r="A25" s="44" t="s">
        <v>944</v>
      </c>
      <c r="C25" s="54" t="s">
        <v>936</v>
      </c>
      <c r="H25" s="6" t="str">
        <f>=IF(ISBLANK(F25),"","("&amp;""""&amp;SUBSTITUTE(F25,"
",""""&amp;","&amp;"""")&amp;""""&amp;")")</f>
        <v/>
      </c>
    </row>
    <row r="26" spans="1:8">
      <c r="A26" s="44" t="s">
        <v>945</v>
      </c>
      <c r="C26" s="54" t="s">
        <v>936</v>
      </c>
      <c r="H26" s="6" t="str">
        <f>=IF(ISBLANK(F26),"","("&amp;""""&amp;SUBSTITUTE(F26,"
",""""&amp;","&amp;"""")&amp;""""&amp;")")</f>
        <v/>
      </c>
    </row>
    <row r="27" spans="1:8">
      <c r="A27" s="44" t="s">
        <v>946</v>
      </c>
      <c r="C27" s="54" t="s">
        <v>936</v>
      </c>
      <c r="H27" s="6" t="str">
        <f>=IF(ISBLANK(F27),"","("&amp;""""&amp;SUBSTITUTE(F27,"
",""""&amp;","&amp;"""")&amp;""""&amp;")")</f>
        <v/>
      </c>
    </row>
    <row r="28" spans="1:8">
      <c r="A28" s="44" t="s">
        <v>947</v>
      </c>
      <c r="C28" s="54" t="s">
        <v>936</v>
      </c>
      <c r="H28" s="6" t="str">
        <f>=IF(ISBLANK(F28),"","("&amp;""""&amp;SUBSTITUTE(F28,"
",""""&amp;","&amp;"""")&amp;""""&amp;")")</f>
        <v/>
      </c>
    </row>
    <row r="29" spans="1:8">
      <c r="A29" s="44" t="s">
        <v>948</v>
      </c>
      <c r="C29" s="54" t="s">
        <v>936</v>
      </c>
      <c r="H29" s="6" t="str">
        <f>=IF(ISBLANK(F29),"","("&amp;""""&amp;SUBSTITUTE(F29,"
",""""&amp;","&amp;"""")&amp;""""&amp;")")</f>
        <v/>
      </c>
    </row>
    <row r="30" spans="3:8">
      <c r="C30" s="54" t="s"/>
      <c r="H30" s="6" t="str">
        <f>=IF(ISBLANK(F30),"","("&amp;""""&amp;SUBSTITUTE(F30,"
",""""&amp;","&amp;"""")&amp;""""&amp;")")</f>
        <v/>
      </c>
    </row>
    <row r="31" spans="1:8" s="78" customFormat="1">
      <c r="A31" s="38" t="s">
        <v>949</v>
      </c>
      <c r="C31" s="64" t="s"/>
      <c r="E31" s="65" t="s"/>
      <c r="H31" s="6" t="str">
        <f>=IF(ISBLANK(F31),"","("&amp;""""&amp;SUBSTITUTE(F31,"
",""""&amp;","&amp;"""")&amp;""""&amp;")")</f>
        <v/>
      </c>
    </row>
    <row r="32" spans="1:8">
      <c r="A32" s="4" t="s">
        <v>950</v>
      </c>
      <c r="B32" s="4" t="s">
        <v>951</v>
      </c>
      <c r="C32" s="54" t="s">
        <v>952</v>
      </c>
      <c r="H32" s="6" t="str">
        <f>=IF(ISBLANK(F32),"","("&amp;""""&amp;SUBSTITUTE(F32,"
",""""&amp;","&amp;"""")&amp;""""&amp;")")</f>
        <v/>
      </c>
    </row>
    <row r="33" spans="1:8">
      <c r="A33" s="4" t="s">
        <v>953</v>
      </c>
      <c r="B33" s="4" t="s">
        <v>954</v>
      </c>
      <c r="C33" s="54" t="s">
        <v>952</v>
      </c>
      <c r="H33" s="6" t="str">
        <f>=IF(ISBLANK(F33),"","("&amp;""""&amp;SUBSTITUTE(F33,"
",""""&amp;","&amp;"""")&amp;""""&amp;")")</f>
        <v/>
      </c>
    </row>
    <row r="34" spans="1:8">
      <c r="A34" s="4" t="s">
        <v>955</v>
      </c>
      <c r="B34" s="4" t="s">
        <v>956</v>
      </c>
      <c r="C34" s="54" t="s">
        <v>952</v>
      </c>
      <c r="H34" s="6" t="str">
        <f>=IF(ISBLANK(F34),"","("&amp;""""&amp;SUBSTITUTE(F34,"
",""""&amp;","&amp;"""")&amp;""""&amp;")")</f>
        <v/>
      </c>
    </row>
    <row r="35" spans="1:8">
      <c r="A35" s="4" t="s">
        <v>957</v>
      </c>
      <c r="B35" s="4" t="s">
        <v>958</v>
      </c>
      <c r="C35" s="54" t="s">
        <v>952</v>
      </c>
      <c r="H35" s="6" t="str">
        <f>=IF(ISBLANK(F35),"","("&amp;""""&amp;SUBSTITUTE(F35,"
",""""&amp;","&amp;"""")&amp;""""&amp;")")</f>
        <v/>
      </c>
    </row>
    <row r="36" spans="1:8">
      <c r="A36" s="4" t="s">
        <v>959</v>
      </c>
      <c r="B36" s="4" t="s">
        <v>960</v>
      </c>
      <c r="C36" s="54" t="s">
        <v>952</v>
      </c>
      <c r="H36" s="6" t="str">
        <f>=IF(ISBLANK(F36),"","("&amp;""""&amp;SUBSTITUTE(F36,"
",""""&amp;","&amp;"""")&amp;""""&amp;")")</f>
        <v/>
      </c>
    </row>
    <row r="37" spans="1:8">
      <c r="A37" s="4" t="s">
        <v>961</v>
      </c>
      <c r="B37" s="4" t="s">
        <v>962</v>
      </c>
      <c r="C37" s="54" t="s">
        <v>952</v>
      </c>
      <c r="H37" s="6" t="str">
        <f>=IF(ISBLANK(F37),"","("&amp;""""&amp;SUBSTITUTE(F37,"
",""""&amp;","&amp;"""")&amp;""""&amp;")")</f>
        <v/>
      </c>
    </row>
    <row r="38" spans="1:8">
      <c r="A38" s="4" t="s">
        <v>963</v>
      </c>
      <c r="B38" s="4" t="s">
        <v>964</v>
      </c>
      <c r="C38" s="54" t="s">
        <v>952</v>
      </c>
      <c r="H38" s="6" t="str">
        <f>=IF(ISBLANK(F38),"","("&amp;""""&amp;SUBSTITUTE(F38,"
",""""&amp;","&amp;"""")&amp;""""&amp;")")</f>
        <v/>
      </c>
    </row>
    <row r="39" spans="1:8">
      <c r="A39" s="4" t="s">
        <v>965</v>
      </c>
      <c r="B39" s="4" t="s">
        <v>966</v>
      </c>
      <c r="C39" s="54" t="s">
        <v>952</v>
      </c>
      <c r="H39" s="6" t="str">
        <f>=IF(ISBLANK(F39),"","("&amp;""""&amp;SUBSTITUTE(F39,"
",""""&amp;","&amp;"""")&amp;""""&amp;")")</f>
        <v/>
      </c>
    </row>
    <row r="40" spans="1:8">
      <c r="A40" s="4" t="s">
        <v>967</v>
      </c>
      <c r="B40" s="4" t="s">
        <v>968</v>
      </c>
      <c r="C40" s="54" t="s">
        <v>952</v>
      </c>
      <c r="H40" s="6" t="str">
        <f>=IF(ISBLANK(F40),"","("&amp;""""&amp;SUBSTITUTE(F40,"
",""""&amp;","&amp;"""")&amp;""""&amp;")")</f>
        <v/>
      </c>
    </row>
    <row r="41" spans="3:8">
      <c r="C41" s="54" t="s"/>
      <c r="H41" s="6" t="str">
        <f>=IF(ISBLANK(F41),"","("&amp;""""&amp;SUBSTITUTE(F41,"
",""""&amp;","&amp;"""")&amp;""""&amp;")")</f>
        <v/>
      </c>
    </row>
    <row r="42" spans="3:8">
      <c r="C42" s="54" t="s"/>
      <c r="H42" s="6" t="str">
        <f>=IF(ISBLANK(F42),"","("&amp;""""&amp;SUBSTITUTE(F42,"
",""""&amp;","&amp;"""")&amp;""""&amp;")")</f>
        <v/>
      </c>
    </row>
    <row r="43" spans="3:8">
      <c r="C43" s="54" t="s"/>
      <c r="H43" s="6" t="str">
        <f>=IF(ISBLANK(F43),"","("&amp;""""&amp;SUBSTITUTE(F43,"
",""""&amp;","&amp;"""")&amp;""""&amp;")")</f>
        <v/>
      </c>
    </row>
    <row r="44" spans="3:8">
      <c r="C44" s="54" t="s"/>
      <c r="H44" s="6" t="str">
        <f>=IF(ISBLANK(F44),"","("&amp;""""&amp;SUBSTITUTE(F44,"
",""""&amp;","&amp;"""")&amp;""""&amp;")")</f>
        <v/>
      </c>
    </row>
    <row r="45" spans="3:8">
      <c r="C45" s="54" t="s"/>
      <c r="H45" s="6" t="str">
        <f>=IF(ISBLANK(F45),"","("&amp;""""&amp;SUBSTITUTE(F45,"
",""""&amp;","&amp;"""")&amp;""""&amp;")")</f>
        <v/>
      </c>
    </row>
    <row r="46" spans="3:8">
      <c r="C46" s="54" t="s"/>
      <c r="H46" s="6" t="str">
        <f>=IF(ISBLANK(F46),"","("&amp;""""&amp;SUBSTITUTE(F46,"
",""""&amp;","&amp;"""")&amp;""""&amp;")")</f>
        <v/>
      </c>
    </row>
    <row r="47" spans="3:8">
      <c r="C47" s="54" t="s"/>
      <c r="H47" s="6" t="str">
        <f>=IF(ISBLANK(F47),"","("&amp;""""&amp;SUBSTITUTE(F47,"
",""""&amp;","&amp;"""")&amp;""""&amp;")")</f>
        <v/>
      </c>
    </row>
    <row r="48" spans="3:8">
      <c r="C48" s="54" t="s"/>
      <c r="H48" s="6" t="str">
        <f>=IF(ISBLANK(F48),"","("&amp;""""&amp;SUBSTITUTE(F48,"
",""""&amp;","&amp;"""")&amp;""""&amp;")")</f>
        <v/>
      </c>
    </row>
    <row r="49" spans="3:8">
      <c r="C49" s="54" t="s"/>
      <c r="H49" s="6" t="str">
        <f>=IF(ISBLANK(F49),"","("&amp;""""&amp;SUBSTITUTE(F49,"
",""""&amp;","&amp;"""")&amp;""""&amp;")")</f>
        <v/>
      </c>
    </row>
    <row r="50" spans="3:8">
      <c r="C50" s="54" t="s"/>
      <c r="H50" s="6" t="str">
        <f>=IF(ISBLANK(F50),"","("&amp;""""&amp;SUBSTITUTE(F50,"
",""""&amp;","&amp;"""")&amp;""""&amp;")")</f>
        <v/>
      </c>
    </row>
    <row r="51" spans="3:8">
      <c r="C51" s="54" t="s"/>
      <c r="H51" s="6" t="str">
        <f>=IF(ISBLANK(F51),"","("&amp;""""&amp;SUBSTITUTE(F51,"
",""""&amp;","&amp;"""")&amp;""""&amp;")")</f>
        <v/>
      </c>
    </row>
    <row r="52" spans="3:8">
      <c r="C52" s="54" t="s"/>
      <c r="H52" s="6" t="str">
        <f>=IF(ISBLANK(F52),"","("&amp;""""&amp;SUBSTITUTE(F52,"
",""""&amp;","&amp;"""")&amp;""""&amp;")")</f>
        <v/>
      </c>
    </row>
    <row r="53" spans="3:8">
      <c r="C53" s="54" t="s"/>
      <c r="H53" s="6" t="str">
        <f>=IF(ISBLANK(F53),"","("&amp;""""&amp;SUBSTITUTE(F53,"
",""""&amp;","&amp;"""")&amp;""""&amp;")")</f>
        <v/>
      </c>
    </row>
    <row r="54" spans="3:8">
      <c r="C54" s="54" t="s"/>
      <c r="H54" s="6" t="str">
        <f>=IF(ISBLANK(F54),"","("&amp;""""&amp;SUBSTITUTE(F54,"
",""""&amp;","&amp;"""")&amp;""""&amp;")")</f>
        <v/>
      </c>
    </row>
    <row r="55" spans="3:8">
      <c r="C55" s="54" t="s"/>
      <c r="H55" s="6" t="str">
        <f>=IF(ISBLANK(F55),"","("&amp;""""&amp;SUBSTITUTE(F55,"
",""""&amp;","&amp;"""")&amp;""""&amp;")")</f>
        <v/>
      </c>
    </row>
    <row r="56" spans="3:8">
      <c r="C56" s="54" t="s"/>
      <c r="H56" s="6" t="str">
        <f>=IF(ISBLANK(F56),"","("&amp;""""&amp;SUBSTITUTE(F56,"
",""""&amp;","&amp;"""")&amp;""""&amp;")")</f>
        <v/>
      </c>
    </row>
    <row r="57" spans="3:8">
      <c r="C57" s="54" t="s"/>
      <c r="H57" s="6" t="str">
        <f>=IF(ISBLANK(F57),"","("&amp;""""&amp;SUBSTITUTE(F57,"
",""""&amp;","&amp;"""")&amp;""""&amp;")")</f>
        <v/>
      </c>
    </row>
    <row r="58" spans="3:8">
      <c r="C58" s="54" t="s"/>
      <c r="H58" s="6" t="str">
        <f>=IF(ISBLANK(F58),"","("&amp;""""&amp;SUBSTITUTE(F58,"
",""""&amp;","&amp;"""")&amp;""""&amp;")")</f>
        <v/>
      </c>
    </row>
    <row r="59" spans="3:8">
      <c r="C59" s="54" t="s"/>
      <c r="H59" s="6" t="str">
        <f>=IF(ISBLANK(F59),"","("&amp;""""&amp;SUBSTITUTE(F59,"
",""""&amp;","&amp;"""")&amp;""""&amp;")")</f>
        <v/>
      </c>
    </row>
    <row r="60" spans="3:8">
      <c r="C60" s="54" t="s"/>
      <c r="H60" s="6" t="str">
        <f>=IF(ISBLANK(F60),"","("&amp;""""&amp;SUBSTITUTE(F60,"
",""""&amp;","&amp;"""")&amp;""""&amp;")")</f>
        <v/>
      </c>
    </row>
    <row r="61" spans="3:8">
      <c r="C61" s="54" t="s"/>
      <c r="H61" s="6" t="str">
        <f>=IF(ISBLANK(F61),"","("&amp;""""&amp;SUBSTITUTE(F61,"
",""""&amp;","&amp;"""")&amp;""""&amp;")")</f>
        <v/>
      </c>
    </row>
    <row r="62" spans="3:8">
      <c r="C62" s="54" t="s"/>
      <c r="H62" s="6" t="str">
        <f>=IF(ISBLANK(F62),"","("&amp;""""&amp;SUBSTITUTE(F62,"
",""""&amp;","&amp;"""")&amp;""""&amp;")")</f>
        <v/>
      </c>
    </row>
    <row r="63" spans="3:8">
      <c r="C63" s="54" t="s"/>
      <c r="H63" s="6" t="str">
        <f>=IF(ISBLANK(F63),"","("&amp;""""&amp;SUBSTITUTE(F63,"
",""""&amp;","&amp;"""")&amp;""""&amp;")")</f>
        <v/>
      </c>
    </row>
    <row r="64" spans="3:8">
      <c r="C64" s="54" t="s"/>
      <c r="H64" s="6" t="str">
        <f>=IF(ISBLANK(F64),"","("&amp;""""&amp;SUBSTITUTE(F64,"
",""""&amp;","&amp;"""")&amp;""""&amp;")")</f>
        <v/>
      </c>
    </row>
    <row r="65" spans="3:8">
      <c r="C65" s="54" t="s"/>
      <c r="H65" s="6" t="str">
        <f>=IF(ISBLANK(F65),"","("&amp;""""&amp;SUBSTITUTE(F65,"
",""""&amp;","&amp;"""")&amp;""""&amp;")")</f>
        <v/>
      </c>
    </row>
    <row r="66" spans="3:8">
      <c r="C66" s="54" t="s"/>
      <c r="H66" s="6" t="str">
        <f>=IF(ISBLANK(F66),"","("&amp;""""&amp;SUBSTITUTE(F66,"
",""""&amp;","&amp;"""")&amp;""""&amp;")")</f>
        <v/>
      </c>
    </row>
    <row r="67" spans="3:8">
      <c r="C67" s="54" t="s"/>
      <c r="H67" s="6" t="str">
        <f>=IF(ISBLANK(F67),"","("&amp;""""&amp;SUBSTITUTE(F67,"
",""""&amp;","&amp;"""")&amp;""""&amp;")")</f>
        <v/>
      </c>
    </row>
    <row r="68" spans="3:8">
      <c r="C68" s="54" t="s"/>
      <c r="H68" s="6" t="str">
        <f>=IF(ISBLANK(F68),"","("&amp;""""&amp;SUBSTITUTE(F68,"
",""""&amp;","&amp;"""")&amp;""""&amp;")")</f>
        <v/>
      </c>
    </row>
    <row r="69" spans="3:8">
      <c r="C69" s="54" t="s"/>
      <c r="H69" s="6" t="str">
        <f>=IF(ISBLANK(F69),"","("&amp;""""&amp;SUBSTITUTE(F69,"
",""""&amp;","&amp;"""")&amp;""""&amp;")")</f>
        <v/>
      </c>
    </row>
    <row r="70" spans="3:8">
      <c r="C70" s="54" t="s"/>
      <c r="H70" s="6" t="str">
        <f>=IF(ISBLANK(F70),"","("&amp;""""&amp;SUBSTITUTE(F70,"
",""""&amp;","&amp;"""")&amp;""""&amp;")")</f>
        <v/>
      </c>
    </row>
    <row r="71" spans="3:8">
      <c r="C71" s="54" t="s"/>
      <c r="H71" s="6" t="str">
        <f>=IF(ISBLANK(F71),"","("&amp;""""&amp;SUBSTITUTE(F71,"
",""""&amp;","&amp;"""")&amp;""""&amp;")")</f>
        <v/>
      </c>
    </row>
    <row r="72" spans="3:8">
      <c r="C72" s="54" t="s"/>
      <c r="H72" s="6" t="str">
        <f>=IF(ISBLANK(F72),"","("&amp;""""&amp;SUBSTITUTE(F72,"
",""""&amp;","&amp;"""")&amp;""""&amp;")")</f>
        <v/>
      </c>
    </row>
    <row r="73" spans="3:8">
      <c r="C73" s="54" t="s"/>
      <c r="H73" s="6" t="str">
        <f>=IF(ISBLANK(F73),"","("&amp;""""&amp;SUBSTITUTE(F73,"
",""""&amp;","&amp;"""")&amp;""""&amp;")")</f>
        <v/>
      </c>
    </row>
    <row r="74" spans="3:8">
      <c r="C74" s="54" t="s"/>
      <c r="H74" s="6" t="str">
        <f>=IF(ISBLANK(F74),"","("&amp;""""&amp;SUBSTITUTE(F74,"
",""""&amp;","&amp;"""")&amp;""""&amp;")")</f>
        <v/>
      </c>
    </row>
    <row r="75" spans="3:8">
      <c r="C75" s="54" t="s"/>
      <c r="H75" s="6" t="str">
        <f>=IF(ISBLANK(F75),"","("&amp;""""&amp;SUBSTITUTE(F75,"
",""""&amp;","&amp;"""")&amp;""""&amp;")")</f>
        <v/>
      </c>
    </row>
    <row r="76" spans="3:8">
      <c r="C76" s="54" t="s"/>
      <c r="H76" s="6" t="str">
        <f>=IF(ISBLANK(F76),"","("&amp;""""&amp;SUBSTITUTE(F76,"
",""""&amp;","&amp;"""")&amp;""""&amp;")")</f>
        <v/>
      </c>
    </row>
    <row r="77" spans="3:8">
      <c r="C77" s="54" t="s"/>
      <c r="H77" s="6" t="str">
        <f>=IF(ISBLANK(F77),"","("&amp;""""&amp;SUBSTITUTE(F77,"
",""""&amp;","&amp;"""")&amp;""""&amp;")")</f>
        <v/>
      </c>
    </row>
    <row r="78" spans="3:8">
      <c r="C78" s="54" t="s"/>
      <c r="H78" s="6" t="str">
        <f>=IF(ISBLANK(F78),"","("&amp;""""&amp;SUBSTITUTE(F78,"
",""""&amp;","&amp;"""")&amp;""""&amp;")")</f>
        <v/>
      </c>
    </row>
    <row r="79" spans="3:8">
      <c r="C79" s="54" t="s"/>
      <c r="H79" s="6" t="str">
        <f>=IF(ISBLANK(F79),"","("&amp;""""&amp;SUBSTITUTE(F79,"
",""""&amp;","&amp;"""")&amp;""""&amp;")")</f>
        <v/>
      </c>
    </row>
    <row r="80" spans="3:8">
      <c r="C80" s="54" t="s"/>
      <c r="H80" s="6" t="str">
        <f>=IF(ISBLANK(F80),"","("&amp;""""&amp;SUBSTITUTE(F80,"
",""""&amp;","&amp;"""")&amp;""""&amp;")")</f>
        <v/>
      </c>
    </row>
    <row r="81" spans="3:8">
      <c r="C81" s="54" t="s"/>
      <c r="H81" s="6" t="str">
        <f>=IF(ISBLANK(F81),"","("&amp;""""&amp;SUBSTITUTE(F81,"
",""""&amp;","&amp;"""")&amp;""""&amp;")")</f>
        <v/>
      </c>
    </row>
    <row r="82" spans="3:8">
      <c r="C82" s="54" t="s"/>
      <c r="H82" s="6" t="str">
        <f>=IF(ISBLANK(F82),"","("&amp;""""&amp;SUBSTITUTE(F82,"
",""""&amp;","&amp;"""")&amp;""""&amp;")")</f>
        <v/>
      </c>
    </row>
    <row r="83" spans="3:8">
      <c r="C83" s="54" t="s"/>
      <c r="H83" s="6" t="str">
        <f>=IF(ISBLANK(F83),"","("&amp;""""&amp;SUBSTITUTE(F83,"
",""""&amp;","&amp;"""")&amp;""""&amp;")")</f>
        <v/>
      </c>
    </row>
    <row r="84" spans="3:8">
      <c r="C84" s="54" t="s"/>
      <c r="H84" s="6" t="str">
        <f>=IF(ISBLANK(F84),"","("&amp;""""&amp;SUBSTITUTE(F84,"
",""""&amp;","&amp;"""")&amp;""""&amp;")")</f>
        <v/>
      </c>
    </row>
    <row r="85" spans="3:8">
      <c r="C85" s="54" t="s"/>
      <c r="H85" s="6" t="str">
        <f>=IF(ISBLANK(F85),"","("&amp;""""&amp;SUBSTITUTE(F85,"
",""""&amp;","&amp;"""")&amp;""""&amp;")")</f>
        <v/>
      </c>
    </row>
    <row r="86" spans="3:8">
      <c r="C86" s="54" t="s"/>
      <c r="H86" s="6" t="str">
        <f>=IF(ISBLANK(F86),"","("&amp;""""&amp;SUBSTITUTE(F86,"
",""""&amp;","&amp;"""")&amp;""""&amp;")")</f>
        <v/>
      </c>
    </row>
    <row r="87" spans="3:8">
      <c r="C87" s="54" t="s"/>
      <c r="H87" s="6" t="str">
        <f>=IF(ISBLANK(F87),"","("&amp;""""&amp;SUBSTITUTE(F87,"
",""""&amp;","&amp;"""")&amp;""""&amp;")")</f>
        <v/>
      </c>
    </row>
    <row r="88" spans="3:8">
      <c r="C88" s="54" t="s"/>
      <c r="H88" s="6" t="str">
        <f>=IF(ISBLANK(F88),"","("&amp;""""&amp;SUBSTITUTE(F88,"
",""""&amp;","&amp;"""")&amp;""""&amp;")")</f>
        <v/>
      </c>
    </row>
    <row r="89" spans="3:8">
      <c r="C89" s="54" t="s"/>
      <c r="H89" s="6" t="str">
        <f>=IF(ISBLANK(F89),"","("&amp;""""&amp;SUBSTITUTE(F89,"
",""""&amp;","&amp;"""")&amp;""""&amp;")")</f>
        <v/>
      </c>
    </row>
    <row r="90" spans="3:8">
      <c r="C90" s="54" t="s"/>
      <c r="H90" s="6" t="str">
        <f>=IF(ISBLANK(F90),"","("&amp;""""&amp;SUBSTITUTE(F90,"
",""""&amp;","&amp;"""")&amp;""""&amp;")")</f>
        <v/>
      </c>
    </row>
    <row r="91" spans="3:8">
      <c r="C91" s="54" t="s"/>
      <c r="H91" s="6" t="str">
        <f>=IF(ISBLANK(F91),"","("&amp;""""&amp;SUBSTITUTE(F91,"
",""""&amp;","&amp;"""")&amp;""""&amp;")")</f>
        <v/>
      </c>
    </row>
    <row r="92" spans="3:8">
      <c r="C92" s="54" t="s"/>
      <c r="H92" s="6" t="str">
        <f>=IF(ISBLANK(F92),"","("&amp;""""&amp;SUBSTITUTE(F92,"
",""""&amp;","&amp;"""")&amp;""""&amp;")")</f>
        <v/>
      </c>
    </row>
    <row r="93" spans="3:8">
      <c r="C93" s="54" t="s"/>
      <c r="H93" s="6" t="str">
        <f>=IF(ISBLANK(F93),"","("&amp;""""&amp;SUBSTITUTE(F93,"
",""""&amp;","&amp;"""")&amp;""""&amp;")")</f>
        <v/>
      </c>
    </row>
    <row r="94" spans="3:8">
      <c r="C94" s="54" t="s"/>
      <c r="H94" s="6" t="str">
        <f>=IF(ISBLANK(F94),"","("&amp;""""&amp;SUBSTITUTE(F94,"
",""""&amp;","&amp;"""")&amp;""""&amp;")")</f>
        <v/>
      </c>
    </row>
    <row r="95" spans="3:8">
      <c r="C95" s="54" t="s"/>
      <c r="H95" s="6" t="str">
        <f>=IF(ISBLANK(F95),"","("&amp;""""&amp;SUBSTITUTE(F95,"
",""""&amp;","&amp;"""")&amp;""""&amp;")")</f>
        <v/>
      </c>
    </row>
    <row r="96" spans="3:8">
      <c r="C96" s="54" t="s"/>
      <c r="H96" s="6" t="str">
        <f>=IF(ISBLANK(F96),"","("&amp;""""&amp;SUBSTITUTE(F96,"
",""""&amp;","&amp;"""")&amp;""""&amp;")")</f>
        <v/>
      </c>
    </row>
    <row r="97" spans="3:8">
      <c r="C97" s="54" t="s"/>
      <c r="H97" s="6" t="str">
        <f>=IF(ISBLANK(F97),"","("&amp;""""&amp;SUBSTITUTE(F97,"
",""""&amp;","&amp;"""")&amp;""""&amp;")")</f>
        <v/>
      </c>
    </row>
    <row r="98" spans="3:8">
      <c r="C98" s="54" t="s"/>
      <c r="H98" s="6" t="str">
        <f>=IF(ISBLANK(F98),"","("&amp;""""&amp;SUBSTITUTE(F98,"
",""""&amp;","&amp;"""")&amp;""""&amp;")")</f>
        <v/>
      </c>
    </row>
    <row r="99" spans="3:8">
      <c r="C99" s="54" t="s"/>
      <c r="H99" s="6" t="str">
        <f>=IF(ISBLANK(F99),"","("&amp;""""&amp;SUBSTITUTE(F99,"
",""""&amp;","&amp;"""")&amp;""""&amp;")")</f>
        <v/>
      </c>
    </row>
    <row r="100" spans="3:8">
      <c r="C100" s="54" t="s"/>
      <c r="H100" s="6" t="str">
        <f>=IF(ISBLANK(F100),"","("&amp;""""&amp;SUBSTITUTE(F100,"
",""""&amp;","&amp;"""")&amp;""""&amp;")")</f>
        <v/>
      </c>
    </row>
    <row r="101" spans="3:8">
      <c r="C101" s="54" t="s"/>
      <c r="H101" s="6" t="str">
        <f>=IF(ISBLANK(F101),"","("&amp;""""&amp;SUBSTITUTE(F101,"
",""""&amp;","&amp;"""")&amp;""""&amp;")")</f>
        <v/>
      </c>
    </row>
    <row r="102" spans="3:8">
      <c r="C102" s="54" t="s"/>
      <c r="H102" s="6" t="str">
        <f>=IF(ISBLANK(F102),"","("&amp;""""&amp;SUBSTITUTE(F102,"
",""""&amp;","&amp;"""")&amp;""""&amp;")")</f>
        <v/>
      </c>
    </row>
    <row r="103" spans="3:8">
      <c r="C103" s="54" t="s"/>
      <c r="H103" s="6" t="str">
        <f>=IF(ISBLANK(F103),"","("&amp;""""&amp;SUBSTITUTE(F103,"
",""""&amp;","&amp;"""")&amp;""""&amp;")")</f>
        <v/>
      </c>
    </row>
    <row r="104" spans="3:8">
      <c r="C104" s="54" t="s"/>
      <c r="H104" s="6" t="str">
        <f>=IF(ISBLANK(F104),"","("&amp;""""&amp;SUBSTITUTE(F104,"
",""""&amp;","&amp;"""")&amp;""""&amp;")")</f>
        <v/>
      </c>
    </row>
    <row r="105" spans="3:8">
      <c r="C105" s="54" t="s"/>
      <c r="H105" s="6" t="str">
        <f>=IF(ISBLANK(F105),"","("&amp;""""&amp;SUBSTITUTE(F105,"
",""""&amp;","&amp;"""")&amp;""""&amp;")")</f>
        <v/>
      </c>
    </row>
    <row r="106" spans="3:8">
      <c r="C106" s="54" t="s"/>
      <c r="H106" s="6" t="str">
        <f>=IF(ISBLANK(F106),"","("&amp;""""&amp;SUBSTITUTE(F106,"
",""""&amp;","&amp;"""")&amp;""""&amp;")")</f>
        <v/>
      </c>
    </row>
    <row r="107" spans="3:8">
      <c r="C107" s="54" t="s"/>
      <c r="H107" s="6" t="str">
        <f>=IF(ISBLANK(F107),"","("&amp;""""&amp;SUBSTITUTE(F107,"
",""""&amp;","&amp;"""")&amp;""""&amp;")")</f>
        <v/>
      </c>
    </row>
    <row r="108" spans="3:8">
      <c r="C108" s="54" t="s"/>
      <c r="H108" s="6" t="str">
        <f>=IF(ISBLANK(F108),"","("&amp;""""&amp;SUBSTITUTE(F108,"
",""""&amp;","&amp;"""")&amp;""""&amp;")")</f>
        <v/>
      </c>
    </row>
    <row r="109" spans="3:8">
      <c r="C109" s="54" t="s"/>
      <c r="H109" s="6" t="str">
        <f>=IF(ISBLANK(F109),"","("&amp;""""&amp;SUBSTITUTE(F109,"
",""""&amp;","&amp;"""")&amp;""""&amp;")")</f>
        <v/>
      </c>
    </row>
    <row r="110" spans="3:8">
      <c r="C110" s="54" t="s"/>
      <c r="H110" s="6" t="str">
        <f>=IF(ISBLANK(F110),"","("&amp;""""&amp;SUBSTITUTE(F110,"
",""""&amp;","&amp;"""")&amp;""""&amp;")")</f>
        <v/>
      </c>
    </row>
    <row r="111" spans="3:8">
      <c r="C111" s="54" t="s"/>
      <c r="H111" s="6" t="str">
        <f>=IF(ISBLANK(F111),"","("&amp;""""&amp;SUBSTITUTE(F111,"
",""""&amp;","&amp;"""")&amp;""""&amp;")")</f>
        <v/>
      </c>
    </row>
    <row r="112" spans="3:8">
      <c r="C112" s="54" t="s"/>
      <c r="H112" s="6" t="str">
        <f>=IF(ISBLANK(F112),"","("&amp;""""&amp;SUBSTITUTE(F112,"
",""""&amp;","&amp;"""")&amp;""""&amp;")")</f>
        <v/>
      </c>
    </row>
    <row r="113" spans="3:8">
      <c r="C113" s="54" t="s"/>
      <c r="H113" s="6" t="str">
        <f>=IF(ISBLANK(F113),"","("&amp;""""&amp;SUBSTITUTE(F113,"
",""""&amp;","&amp;"""")&amp;""""&amp;")")</f>
        <v/>
      </c>
    </row>
    <row r="114" spans="3:8">
      <c r="C114" s="54" t="s"/>
      <c r="H114" s="6" t="str">
        <f>=IF(ISBLANK(F114),"","("&amp;""""&amp;SUBSTITUTE(F114,"
",""""&amp;","&amp;"""")&amp;""""&amp;")")</f>
        <v/>
      </c>
    </row>
    <row r="115" spans="3:8">
      <c r="C115" s="54" t="s"/>
      <c r="H115" s="6" t="str">
        <f>=IF(ISBLANK(F115),"","("&amp;""""&amp;SUBSTITUTE(F115,"
",""""&amp;","&amp;"""")&amp;""""&amp;")")</f>
        <v/>
      </c>
    </row>
    <row r="116" spans="3:8">
      <c r="C116" s="54" t="s"/>
      <c r="H116" s="6" t="str">
        <f>=IF(ISBLANK(F116),"","("&amp;""""&amp;SUBSTITUTE(F116,"
",""""&amp;","&amp;"""")&amp;""""&amp;")")</f>
        <v/>
      </c>
    </row>
    <row r="117" spans="3:8">
      <c r="C117" s="54" t="s"/>
      <c r="H117" s="6" t="str">
        <f>=IF(ISBLANK(F117),"","("&amp;""""&amp;SUBSTITUTE(F117,"
",""""&amp;","&amp;"""")&amp;""""&amp;")")</f>
        <v/>
      </c>
    </row>
    <row r="118" spans="3:8">
      <c r="C118" s="54" t="s"/>
      <c r="H118" s="6" t="str">
        <f>=IF(ISBLANK(F118),"","("&amp;""""&amp;SUBSTITUTE(F118,"
",""""&amp;","&amp;"""")&amp;""""&amp;")")</f>
        <v/>
      </c>
    </row>
    <row r="119" spans="3:8">
      <c r="C119" s="54" t="s"/>
      <c r="H119" s="6" t="str">
        <f>=IF(ISBLANK(F119),"","("&amp;""""&amp;SUBSTITUTE(F119,"
",""""&amp;","&amp;"""")&amp;""""&amp;")")</f>
        <v/>
      </c>
    </row>
    <row r="120" spans="3:8">
      <c r="C120" s="54" t="s"/>
      <c r="H120" s="6" t="str">
        <f>=IF(ISBLANK(F120),"","("&amp;""""&amp;SUBSTITUTE(F120,"
",""""&amp;","&amp;"""")&amp;""""&amp;")")</f>
        <v/>
      </c>
    </row>
    <row r="121" spans="3:8">
      <c r="C121" s="54" t="s"/>
      <c r="H121" s="6" t="str">
        <f>=IF(ISBLANK(F121),"","("&amp;""""&amp;SUBSTITUTE(F121,"
",""""&amp;","&amp;"""")&amp;""""&amp;")")</f>
        <v/>
      </c>
    </row>
    <row r="122" spans="3:8">
      <c r="C122" s="54" t="s"/>
      <c r="H122" s="6" t="str">
        <f>=IF(ISBLANK(F122),"","("&amp;""""&amp;SUBSTITUTE(F122,"
",""""&amp;","&amp;"""")&amp;""""&amp;")")</f>
        <v/>
      </c>
    </row>
    <row r="123" spans="3:8">
      <c r="C123" s="54" t="s"/>
      <c r="H123" s="6" t="str">
        <f>=IF(ISBLANK(F123),"","("&amp;""""&amp;SUBSTITUTE(F123,"
",""""&amp;","&amp;"""")&amp;""""&amp;")")</f>
        <v/>
      </c>
    </row>
    <row r="124" spans="3:8">
      <c r="C124" s="54" t="s"/>
      <c r="H124" s="6" t="str">
        <f>=IF(ISBLANK(F124),"","("&amp;""""&amp;SUBSTITUTE(F124,"
",""""&amp;","&amp;"""")&amp;""""&amp;")")</f>
        <v/>
      </c>
    </row>
    <row r="125" spans="3:8">
      <c r="C125" s="54" t="s"/>
      <c r="H125" s="6" t="str">
        <f>=IF(ISBLANK(F125),"","("&amp;""""&amp;SUBSTITUTE(F125,"
",""""&amp;","&amp;"""")&amp;""""&amp;")")</f>
        <v/>
      </c>
    </row>
    <row r="126" spans="3:3">
      <c r="C126" s="54" t="s"/>
    </row>
    <row r="127" spans="3:3">
      <c r="C127" s="54" t="s"/>
    </row>
    <row r="128" spans="3:3">
      <c r="C128" s="54" t="s"/>
    </row>
    <row r="129" spans="3:3">
      <c r="C129" s="54" t="s"/>
    </row>
    <row r="130" spans="3:3">
      <c r="C130" s="54" t="s"/>
    </row>
    <row r="131" spans="3:3">
      <c r="C131" s="54" t="s"/>
    </row>
    <row r="132" spans="3:3">
      <c r="C132" s="54" t="s"/>
    </row>
    <row r="133" spans="3:3">
      <c r="C133" s="54" t="s"/>
    </row>
    <row r="134" spans="3:3">
      <c r="C134" s="54" t="s"/>
    </row>
    <row r="135" spans="3:3">
      <c r="C135" s="54" t="s"/>
    </row>
    <row r="136" spans="3:3">
      <c r="C136" s="54" t="s"/>
    </row>
    <row r="137" spans="3:3">
      <c r="C137" s="54" t="s"/>
    </row>
    <row r="138" spans="3:3">
      <c r="C138" s="54" t="s"/>
    </row>
    <row r="139" spans="3:3">
      <c r="C139" s="54" t="s"/>
    </row>
    <row r="140" spans="3:3">
      <c r="C140" s="54" t="s"/>
    </row>
    <row r="141" spans="3:3">
      <c r="C141" s="54" t="s"/>
    </row>
    <row r="142" spans="3:3">
      <c r="C142" s="54" t="s"/>
    </row>
    <row r="143" spans="3:3">
      <c r="C143" s="54" t="s"/>
    </row>
    <row r="144" spans="3:3">
      <c r="C144" s="54" t="s"/>
    </row>
    <row r="145" spans="3:3">
      <c r="C145" s="54" t="s"/>
    </row>
    <row r="146" spans="3:3">
      <c r="C146" s="54" t="s"/>
    </row>
    <row r="147" spans="3:3">
      <c r="C147" s="54" t="s"/>
    </row>
    <row r="148" spans="3:3">
      <c r="C148" s="54" t="s"/>
    </row>
    <row r="149" spans="3:3">
      <c r="C149" s="54" t="s"/>
    </row>
    <row r="150" spans="3:3">
      <c r="C150" s="54" t="s"/>
    </row>
    <row r="151" spans="3:3">
      <c r="C151" s="54" t="s"/>
    </row>
    <row r="152" spans="3:3">
      <c r="C152" s="54" t="s"/>
    </row>
    <row r="153" spans="3:3">
      <c r="C153" s="54" t="s"/>
    </row>
    <row r="154" spans="3:3">
      <c r="C154" s="54" t="s"/>
    </row>
    <row r="155" spans="3:3">
      <c r="C155" s="54" t="s"/>
    </row>
    <row r="156" spans="3:3">
      <c r="C156" s="54" t="s"/>
    </row>
    <row r="157" spans="3:3">
      <c r="C157" s="54" t="s"/>
    </row>
    <row r="158" spans="3:3">
      <c r="C158" s="54" t="s"/>
    </row>
    <row r="159" spans="3:3">
      <c r="C159" s="54" t="s"/>
    </row>
    <row r="160" spans="3:3">
      <c r="C160" s="54" t="s"/>
    </row>
    <row r="161" spans="3:3">
      <c r="C161" s="54" t="s"/>
    </row>
    <row r="162" spans="3:3">
      <c r="C162" s="54" t="s"/>
    </row>
    <row r="163" spans="3:3">
      <c r="C163" s="54" t="s"/>
    </row>
    <row r="164" spans="3:3">
      <c r="C164" s="54" t="s"/>
    </row>
    <row r="165" spans="3:3">
      <c r="C165" s="54" t="s"/>
    </row>
    <row r="166" spans="3:3">
      <c r="C166" s="54" t="s"/>
    </row>
    <row r="167" spans="3:3">
      <c r="C167" s="54" t="s"/>
    </row>
    <row r="168" spans="3:3">
      <c r="C168" s="54" t="s"/>
    </row>
    <row r="169" spans="3:3">
      <c r="C169" s="54" t="s"/>
    </row>
    <row r="170" spans="3:3">
      <c r="C170" s="54" t="s"/>
    </row>
    <row r="171" spans="3:3">
      <c r="C171" s="54" t="s"/>
    </row>
    <row r="172" spans="3:3">
      <c r="C172" s="54" t="s"/>
    </row>
    <row r="173" spans="3:3">
      <c r="C173" s="54" t="s"/>
    </row>
    <row r="174" spans="3:3">
      <c r="C174" s="54" t="s"/>
    </row>
    <row r="175" spans="3:3">
      <c r="C175" s="54" t="s"/>
    </row>
    <row r="176" spans="3:3">
      <c r="C176" s="54" t="s"/>
    </row>
    <row r="177" spans="3:3">
      <c r="C177" s="54" t="s"/>
    </row>
    <row r="178" spans="3:3">
      <c r="C178" s="54" t="s"/>
    </row>
    <row r="179" spans="3:3">
      <c r="C179" s="54" t="s"/>
    </row>
    <row r="180" spans="3:3">
      <c r="C180" s="54" t="s"/>
    </row>
    <row r="181" spans="3:3">
      <c r="C181" s="54" t="s"/>
    </row>
    <row r="182" spans="3:3">
      <c r="C182" s="54" t="s"/>
    </row>
    <row r="183" spans="3:3">
      <c r="C183" s="54" t="s"/>
    </row>
    <row r="184" spans="3:3">
      <c r="C184" s="54" t="s"/>
    </row>
    <row r="185" spans="3:3">
      <c r="C185" s="54" t="s"/>
    </row>
    <row r="186" spans="3:3">
      <c r="C186" s="54" t="s"/>
    </row>
    <row r="187" spans="3:3">
      <c r="C187" s="54" t="s"/>
    </row>
    <row r="188" spans="3:3">
      <c r="C188" s="54" t="s"/>
    </row>
    <row r="189" spans="3:3">
      <c r="C189" s="54" t="s"/>
    </row>
    <row r="190" spans="3:3">
      <c r="C190" s="54" t="s"/>
    </row>
    <row r="191" spans="3:3">
      <c r="C191" s="54" t="s"/>
    </row>
    <row r="192" spans="3:3">
      <c r="C192" s="54" t="s"/>
    </row>
    <row r="193" spans="3:3">
      <c r="C193" s="54" t="s"/>
    </row>
    <row r="194" spans="3:3">
      <c r="C194" s="54" t="s"/>
    </row>
    <row r="195" spans="3:3">
      <c r="C195" s="54" t="s"/>
    </row>
    <row r="196" spans="3:3">
      <c r="C196" s="54" t="s"/>
    </row>
    <row r="197" spans="3:3">
      <c r="C197" s="54" t="s"/>
    </row>
    <row r="198" spans="3:3">
      <c r="C198" s="54" t="s"/>
    </row>
    <row r="199" spans="3:3">
      <c r="C199" s="54" t="s"/>
    </row>
    <row r="200" spans="3:3">
      <c r="C200" s="54" t="s"/>
    </row>
  </sheetData>
  <dataValidations>
    <dataValidation type="list" errorStyle="stop" operator="between" allowBlank="1" showDropDown="0" showInputMessage="1" showErrorMessage="1" prompt="" sqref="C2:C200">
      <formula1>"TXT_ItemType_道具,TXT_ItemType_任务道具,TXT_ItemType_好感度,TXT_ItemType_货币,TXT_ItemType_其他变量,"</formula1>
    </dataValidation>
  </dataValidations>
</worksheet>
</file>

<file path=xl/worksheets/sheet14.xml><?xml version="1.0" encoding="utf-8"?>
<worksheet xmlns="http://schemas.openxmlformats.org/spreadsheetml/2006/main">
  <sheetPr codeName="地图">
    <tabColor/>
  </sheetPr>
  <dimension ref="D200"/>
  <sheetViews>
    <sheetView showGridLines="1" workbookViewId="0"/>
  </sheetViews>
  <sheetFormatPr baseColWidth="13" defaultRowHeight="18" customHeight="1"/>
  <cols>
    <col min="1" max="1" width="17.4023" customWidth="1"/>
    <col min="2" max="2" width="18.6133" customWidth="1"/>
    <col min="3" max="3" width="20.3633" customWidth="1"/>
    <col min="4" max="4" width="24.4141" customWidth="1"/>
  </cols>
  <sheetData>
    <row r="1" spans="2:8">
      <c r="B1" s="4" t="s">
        <v>969</v>
      </c>
      <c r="C1" s="4" t="s">
        <v>970</v>
      </c>
      <c r="D1" s="4" t="s">
        <v>971</v>
      </c>
      <c r="E1" s="4" t="s">
        <v>972</v>
      </c>
      <c r="F1" s="4" t="s">
        <v>973</v>
      </c>
      <c r="G1" s="4" t="s">
        <v>974</v>
      </c>
      <c r="H1" s="4" t="s">
        <v>975</v>
      </c>
    </row>
    <row r="2" spans="1:3">
      <c r="A2" s="4" t="s">
        <v>341</v>
      </c>
      <c r="B2" s="4" t="s">
        <v>976</v>
      </c>
      <c r="C2" s="66" t="s">
        <v>738</v>
      </c>
    </row>
    <row r="3" spans="1:3">
      <c r="A3" s="4" t="s">
        <v>355</v>
      </c>
      <c r="B3" s="4" t="s">
        <v>977</v>
      </c>
      <c r="C3" s="66" t="s">
        <v>742</v>
      </c>
    </row>
    <row r="4" spans="1:3">
      <c r="A4" s="4" t="s">
        <v>360</v>
      </c>
      <c r="B4" s="4" t="s">
        <v>978</v>
      </c>
      <c r="C4" s="66" t="s">
        <v>745</v>
      </c>
    </row>
    <row r="5" spans="1:3">
      <c r="A5" s="4" t="s">
        <v>979</v>
      </c>
      <c r="B5" s="4" t="s">
        <v>980</v>
      </c>
      <c r="C5" s="66" t="s">
        <v>748</v>
      </c>
    </row>
    <row r="6" spans="1:3">
      <c r="A6" s="4" t="s">
        <v>981</v>
      </c>
      <c r="B6" s="4" t="s">
        <v>982</v>
      </c>
      <c r="C6" s="66" t="s">
        <v>751</v>
      </c>
    </row>
    <row r="7" spans="1:3">
      <c r="A7" s="4" t="s">
        <v>983</v>
      </c>
      <c r="B7" s="4" t="s">
        <v>984</v>
      </c>
      <c r="C7" s="66" t="s">
        <v>754</v>
      </c>
    </row>
    <row r="8" spans="1:3">
      <c r="A8" s="4" t="s">
        <v>985</v>
      </c>
      <c r="B8" s="4" t="s">
        <v>986</v>
      </c>
      <c r="C8" s="66" t="s">
        <v>757</v>
      </c>
    </row>
    <row r="9" spans="1:3">
      <c r="A9" s="4" t="s">
        <v>987</v>
      </c>
      <c r="B9" s="4" t="s">
        <v>988</v>
      </c>
      <c r="C9" s="66" t="s">
        <v>760</v>
      </c>
    </row>
    <row r="10" spans="1:3">
      <c r="A10" s="4" t="s">
        <v>989</v>
      </c>
      <c r="B10" s="4" t="s">
        <v>990</v>
      </c>
      <c r="C10" s="66" t="s">
        <v>763</v>
      </c>
    </row>
    <row r="11" spans="3:3">
      <c r="C11" s="52" t="s"/>
    </row>
    <row r="12" spans="3:3">
      <c r="C12" s="52" t="s"/>
    </row>
    <row r="13" spans="3:3">
      <c r="C13" s="52" t="s"/>
    </row>
    <row r="14" spans="3:3">
      <c r="C14" s="52" t="s"/>
    </row>
    <row r="15" spans="3:3">
      <c r="C15" s="52" t="s"/>
    </row>
    <row r="16" spans="3:3">
      <c r="C16" s="52" t="s"/>
    </row>
    <row r="17" spans="3:3">
      <c r="C17" s="52" t="s"/>
    </row>
    <row r="18" spans="3:3">
      <c r="C18" s="52" t="s"/>
    </row>
    <row r="19" spans="3:3">
      <c r="C19" s="52" t="s"/>
    </row>
    <row r="20" spans="3:3">
      <c r="C20" s="52" t="s"/>
    </row>
    <row r="21" spans="3:3">
      <c r="C21" s="52" t="s"/>
    </row>
    <row r="22" spans="3:3">
      <c r="C22" s="52" t="s"/>
    </row>
    <row r="23" spans="3:3">
      <c r="C23" s="52" t="s"/>
    </row>
    <row r="24" spans="3:3">
      <c r="C24" s="52" t="s"/>
    </row>
    <row r="25" spans="3:3">
      <c r="C25" s="52" t="s"/>
    </row>
    <row r="26" spans="3:3">
      <c r="C26" s="52" t="s"/>
    </row>
    <row r="27" spans="3:3">
      <c r="C27" s="52" t="s"/>
    </row>
    <row r="28" spans="3:3">
      <c r="C28" s="52" t="s"/>
    </row>
    <row r="29" spans="3:3">
      <c r="C29" s="52" t="s"/>
    </row>
    <row r="30" spans="3:3">
      <c r="C30" s="52" t="s"/>
    </row>
    <row r="31" spans="3:3">
      <c r="C31" s="52" t="s"/>
    </row>
    <row r="32" spans="3:3">
      <c r="C32" s="52" t="s"/>
    </row>
    <row r="33" spans="3:3">
      <c r="C33" s="52" t="s"/>
    </row>
    <row r="34" spans="3:3">
      <c r="C34" s="52" t="s"/>
    </row>
    <row r="35" spans="3:3">
      <c r="C35" s="52" t="s"/>
    </row>
    <row r="36" spans="3:3">
      <c r="C36" s="52" t="s"/>
    </row>
    <row r="37" spans="3:3">
      <c r="C37" s="52" t="s"/>
    </row>
    <row r="38" spans="3:3">
      <c r="C38" s="52" t="s"/>
    </row>
    <row r="39" spans="3:3">
      <c r="C39" s="52" t="s"/>
    </row>
    <row r="40" spans="3:3">
      <c r="C40" s="52" t="s"/>
    </row>
    <row r="41" spans="3:3">
      <c r="C41" s="52" t="s"/>
    </row>
    <row r="42" spans="3:3">
      <c r="C42" s="52" t="s"/>
    </row>
    <row r="43" spans="3:3">
      <c r="C43" s="52" t="s"/>
    </row>
    <row r="44" spans="3:3">
      <c r="C44" s="52" t="s"/>
    </row>
    <row r="45" spans="3:3">
      <c r="C45" s="52" t="s"/>
    </row>
    <row r="46" spans="3:3">
      <c r="C46" s="52" t="s"/>
    </row>
    <row r="47" spans="3:3">
      <c r="C47" s="52" t="s"/>
    </row>
    <row r="48" spans="3:3">
      <c r="C48" s="52" t="s"/>
    </row>
    <row r="49" spans="3:3">
      <c r="C49" s="52" t="s"/>
    </row>
    <row r="50" spans="3:3">
      <c r="C50" s="52" t="s"/>
    </row>
    <row r="51" spans="3:3">
      <c r="C51" s="52" t="s"/>
    </row>
    <row r="52" spans="3:3">
      <c r="C52" s="52" t="s"/>
    </row>
    <row r="53" spans="3:3">
      <c r="C53" s="52" t="s"/>
    </row>
    <row r="54" spans="3:3">
      <c r="C54" s="52" t="s"/>
    </row>
    <row r="55" spans="3:3">
      <c r="C55" s="52" t="s"/>
    </row>
    <row r="56" spans="3:3">
      <c r="C56" s="52" t="s"/>
    </row>
    <row r="57" spans="3:3">
      <c r="C57" s="52" t="s"/>
    </row>
    <row r="58" spans="3:3">
      <c r="C58" s="52" t="s"/>
    </row>
    <row r="59" spans="3:3">
      <c r="C59" s="52" t="s"/>
    </row>
    <row r="60" spans="3:3">
      <c r="C60" s="52" t="s"/>
    </row>
    <row r="61" spans="3:3">
      <c r="C61" s="52" t="s"/>
    </row>
    <row r="62" spans="3:3">
      <c r="C62" s="52" t="s"/>
    </row>
    <row r="63" spans="3:3">
      <c r="C63" s="52" t="s"/>
    </row>
    <row r="64" spans="3:3">
      <c r="C64" s="52" t="s"/>
    </row>
    <row r="65" spans="3:3">
      <c r="C65" s="52" t="s"/>
    </row>
    <row r="66" spans="3:3">
      <c r="C66" s="52" t="s"/>
    </row>
    <row r="67" spans="3:3">
      <c r="C67" s="52" t="s"/>
    </row>
    <row r="68" spans="3:3">
      <c r="C68" s="52" t="s"/>
    </row>
    <row r="69" spans="3:3">
      <c r="C69" s="52" t="s"/>
    </row>
    <row r="70" spans="3:3">
      <c r="C70" s="52" t="s"/>
    </row>
    <row r="71" spans="3:3">
      <c r="C71" s="52" t="s"/>
    </row>
    <row r="72" spans="3:3">
      <c r="C72" s="52" t="s"/>
    </row>
    <row r="73" spans="3:3">
      <c r="C73" s="52" t="s"/>
    </row>
    <row r="74" spans="3:3">
      <c r="C74" s="52" t="s"/>
    </row>
    <row r="75" spans="3:3">
      <c r="C75" s="52" t="s"/>
    </row>
    <row r="76" spans="3:3">
      <c r="C76" s="52" t="s"/>
    </row>
    <row r="77" spans="3:3">
      <c r="C77" s="52" t="s"/>
    </row>
    <row r="78" spans="3:3">
      <c r="C78" s="52" t="s"/>
    </row>
    <row r="79" spans="3:3">
      <c r="C79" s="52" t="s"/>
    </row>
    <row r="80" spans="3:3">
      <c r="C80" s="52" t="s"/>
    </row>
    <row r="81" spans="3:3">
      <c r="C81" s="52" t="s"/>
    </row>
    <row r="82" spans="3:3">
      <c r="C82" s="52" t="s"/>
    </row>
    <row r="83" spans="3:3">
      <c r="C83" s="52" t="s"/>
    </row>
    <row r="84" spans="3:3">
      <c r="C84" s="52" t="s"/>
    </row>
    <row r="85" spans="3:3">
      <c r="C85" s="52" t="s"/>
    </row>
    <row r="86" spans="3:3">
      <c r="C86" s="52" t="s"/>
    </row>
    <row r="87" spans="3:3">
      <c r="C87" s="52" t="s"/>
    </row>
    <row r="88" spans="3:3">
      <c r="C88" s="52" t="s"/>
    </row>
    <row r="89" spans="3:3">
      <c r="C89" s="52" t="s"/>
    </row>
    <row r="90" spans="3:3">
      <c r="C90" s="52" t="s"/>
    </row>
    <row r="91" spans="3:3">
      <c r="C91" s="52" t="s"/>
    </row>
    <row r="92" spans="3:3">
      <c r="C92" s="52" t="s"/>
    </row>
    <row r="93" spans="3:3">
      <c r="C93" s="52" t="s"/>
    </row>
    <row r="94" spans="3:3">
      <c r="C94" s="52" t="s"/>
    </row>
    <row r="95" spans="3:3">
      <c r="C95" s="52" t="s"/>
    </row>
    <row r="96" spans="3:3">
      <c r="C96" s="52" t="s"/>
    </row>
    <row r="97" spans="3:3">
      <c r="C97" s="52" t="s"/>
    </row>
    <row r="98" spans="3:3">
      <c r="C98" s="52" t="s"/>
    </row>
    <row r="99" spans="3:3">
      <c r="C99" s="52" t="s"/>
    </row>
    <row r="100" spans="3:3">
      <c r="C100" s="52" t="s"/>
    </row>
    <row r="101" spans="3:3">
      <c r="C101" s="52" t="s"/>
    </row>
    <row r="102" spans="3:3">
      <c r="C102" s="52" t="s"/>
    </row>
    <row r="103" spans="3:3">
      <c r="C103" s="52" t="s"/>
    </row>
    <row r="104" spans="3:3">
      <c r="C104" s="52" t="s"/>
    </row>
    <row r="105" spans="3:3">
      <c r="C105" s="52" t="s"/>
    </row>
    <row r="106" spans="3:3">
      <c r="C106" s="52" t="s"/>
    </row>
    <row r="107" spans="3:3">
      <c r="C107" s="52" t="s"/>
    </row>
    <row r="108" spans="3:3">
      <c r="C108" s="52" t="s"/>
    </row>
    <row r="109" spans="3:3">
      <c r="C109" s="52" t="s"/>
    </row>
    <row r="110" spans="3:3">
      <c r="C110" s="52" t="s"/>
    </row>
    <row r="111" spans="3:3">
      <c r="C111" s="52" t="s"/>
    </row>
    <row r="112" spans="3:3">
      <c r="C112" s="52" t="s"/>
    </row>
    <row r="113" spans="3:3">
      <c r="C113" s="52" t="s"/>
    </row>
    <row r="114" spans="3:3">
      <c r="C114" s="52" t="s"/>
    </row>
    <row r="115" spans="3:3">
      <c r="C115" s="52" t="s"/>
    </row>
    <row r="116" spans="3:3">
      <c r="C116" s="52" t="s"/>
    </row>
    <row r="117" spans="3:3">
      <c r="C117" s="52" t="s"/>
    </row>
    <row r="118" spans="3:3">
      <c r="C118" s="52" t="s"/>
    </row>
    <row r="119" spans="3:3">
      <c r="C119" s="52" t="s"/>
    </row>
    <row r="120" spans="3:3">
      <c r="C120" s="52" t="s"/>
    </row>
    <row r="121" spans="3:3">
      <c r="C121" s="52" t="s"/>
    </row>
    <row r="122" spans="3:3">
      <c r="C122" s="52" t="s"/>
    </row>
    <row r="123" spans="3:3">
      <c r="C123" s="52" t="s"/>
    </row>
    <row r="124" spans="3:3">
      <c r="C124" s="52" t="s"/>
    </row>
    <row r="125" spans="3:3">
      <c r="C125" s="52" t="s"/>
    </row>
    <row r="126" spans="3:3">
      <c r="C126" s="52" t="s"/>
    </row>
    <row r="127" spans="3:3">
      <c r="C127" s="52" t="s"/>
    </row>
    <row r="128" spans="3:3">
      <c r="C128" s="52" t="s"/>
    </row>
    <row r="129" spans="3:3">
      <c r="C129" s="52" t="s"/>
    </row>
    <row r="130" spans="3:3">
      <c r="C130" s="52" t="s"/>
    </row>
    <row r="131" spans="3:3">
      <c r="C131" s="52" t="s"/>
    </row>
    <row r="132" spans="3:3">
      <c r="C132" s="52" t="s"/>
    </row>
    <row r="133" spans="3:3">
      <c r="C133" s="52" t="s"/>
    </row>
    <row r="134" spans="3:3">
      <c r="C134" s="52" t="s"/>
    </row>
    <row r="135" spans="3:3">
      <c r="C135" s="52" t="s"/>
    </row>
    <row r="136" spans="3:3">
      <c r="C136" s="52" t="s"/>
    </row>
    <row r="137" spans="3:3">
      <c r="C137" s="52" t="s"/>
    </row>
    <row r="138" spans="3:3">
      <c r="C138" s="52" t="s"/>
    </row>
    <row r="139" spans="3:3">
      <c r="C139" s="52" t="s"/>
    </row>
    <row r="140" spans="3:3">
      <c r="C140" s="52" t="s"/>
    </row>
    <row r="141" spans="3:3">
      <c r="C141" s="52" t="s"/>
    </row>
    <row r="142" spans="3:3">
      <c r="C142" s="52" t="s"/>
    </row>
    <row r="143" spans="3:3">
      <c r="C143" s="52" t="s"/>
    </row>
    <row r="144" spans="3:3">
      <c r="C144" s="52" t="s"/>
    </row>
    <row r="145" spans="3:3">
      <c r="C145" s="52" t="s"/>
    </row>
    <row r="146" spans="3:3">
      <c r="C146" s="52" t="s"/>
    </row>
    <row r="147" spans="3:3">
      <c r="C147" s="52" t="s"/>
    </row>
    <row r="148" spans="3:3">
      <c r="C148" s="52" t="s"/>
    </row>
    <row r="149" spans="3:3">
      <c r="C149" s="52" t="s"/>
    </row>
    <row r="150" spans="3:3">
      <c r="C150" s="52" t="s"/>
    </row>
    <row r="151" spans="3:3">
      <c r="C151" s="52" t="s"/>
    </row>
    <row r="152" spans="3:3">
      <c r="C152" s="52" t="s"/>
    </row>
    <row r="153" spans="3:3">
      <c r="C153" s="52" t="s"/>
    </row>
    <row r="154" spans="3:3">
      <c r="C154" s="52" t="s"/>
    </row>
    <row r="155" spans="3:3">
      <c r="C155" s="52" t="s"/>
    </row>
    <row r="156" spans="3:3">
      <c r="C156" s="52" t="s"/>
    </row>
    <row r="157" spans="3:3">
      <c r="C157" s="52" t="s"/>
    </row>
    <row r="158" spans="3:3">
      <c r="C158" s="52" t="s"/>
    </row>
    <row r="159" spans="3:3">
      <c r="C159" s="52" t="s"/>
    </row>
    <row r="160" spans="3:3">
      <c r="C160" s="52" t="s"/>
    </row>
    <row r="161" spans="3:3">
      <c r="C161" s="52" t="s"/>
    </row>
    <row r="162" spans="3:3">
      <c r="C162" s="52" t="s"/>
    </row>
    <row r="163" spans="3:3">
      <c r="C163" s="52" t="s"/>
    </row>
    <row r="164" spans="3:3">
      <c r="C164" s="52" t="s"/>
    </row>
    <row r="165" spans="3:3">
      <c r="C165" s="52" t="s"/>
    </row>
    <row r="166" spans="3:3">
      <c r="C166" s="52" t="s"/>
    </row>
    <row r="167" spans="3:3">
      <c r="C167" s="52" t="s"/>
    </row>
    <row r="168" spans="3:3">
      <c r="C168" s="52" t="s"/>
    </row>
    <row r="169" spans="3:3">
      <c r="C169" s="52" t="s"/>
    </row>
    <row r="170" spans="3:3">
      <c r="C170" s="52" t="s"/>
    </row>
    <row r="171" spans="3:3">
      <c r="C171" s="52" t="s"/>
    </row>
    <row r="172" spans="3:3">
      <c r="C172" s="52" t="s"/>
    </row>
    <row r="173" spans="3:3">
      <c r="C173" s="52" t="s"/>
    </row>
    <row r="174" spans="3:3">
      <c r="C174" s="52" t="s"/>
    </row>
    <row r="175" spans="3:3">
      <c r="C175" s="52" t="s"/>
    </row>
    <row r="176" spans="3:3">
      <c r="C176" s="52" t="s"/>
    </row>
    <row r="177" spans="3:3">
      <c r="C177" s="52" t="s"/>
    </row>
    <row r="178" spans="3:3">
      <c r="C178" s="52" t="s"/>
    </row>
    <row r="179" spans="3:3">
      <c r="C179" s="52" t="s"/>
    </row>
    <row r="180" spans="3:3">
      <c r="C180" s="52" t="s"/>
    </row>
    <row r="181" spans="3:3">
      <c r="C181" s="52" t="s"/>
    </row>
    <row r="182" spans="3:3">
      <c r="C182" s="52" t="s"/>
    </row>
    <row r="183" spans="3:3">
      <c r="C183" s="52" t="s"/>
    </row>
    <row r="184" spans="3:3">
      <c r="C184" s="52" t="s"/>
    </row>
    <row r="185" spans="3:3">
      <c r="C185" s="52" t="s"/>
    </row>
    <row r="186" spans="3:3">
      <c r="C186" s="52" t="s"/>
    </row>
    <row r="187" spans="3:3">
      <c r="C187" s="52" t="s"/>
    </row>
    <row r="188" spans="3:3">
      <c r="C188" s="52" t="s"/>
    </row>
    <row r="189" spans="3:3">
      <c r="C189" s="52" t="s"/>
    </row>
    <row r="190" spans="3:3">
      <c r="C190" s="52" t="s"/>
    </row>
    <row r="191" spans="3:3">
      <c r="C191" s="52" t="s"/>
    </row>
    <row r="192" spans="3:3">
      <c r="C192" s="52" t="s"/>
    </row>
    <row r="193" spans="3:3">
      <c r="C193" s="52" t="s"/>
    </row>
    <row r="194" spans="3:3">
      <c r="C194" s="52" t="s"/>
    </row>
    <row r="195" spans="3:3">
      <c r="C195" s="52" t="s"/>
    </row>
    <row r="196" spans="3:3">
      <c r="C196" s="52" t="s"/>
    </row>
    <row r="197" spans="3:3">
      <c r="C197" s="52" t="s"/>
    </row>
    <row r="198" spans="3:3">
      <c r="C198" s="52" t="s"/>
    </row>
    <row r="199" spans="3:3">
      <c r="C199" s="52" t="s"/>
    </row>
    <row r="200" spans="3:3">
      <c r="C200" s="52" t="s"/>
    </row>
  </sheetData>
  <dataValidations>
    <dataValidation type="list" errorStyle="stop" operator="between" allowBlank="1" showDropDown="0" showInputMessage="1" showErrorMessage="1" prompt="" sqref="C2:C200">
      <formula1>立绘!$A:$A</formula1>
    </dataValidation>
  </dataValidations>
</worksheet>
</file>

<file path=xl/worksheets/sheet15.xml><?xml version="1.0" encoding="utf-8"?>
<worksheet xmlns="http://schemas.openxmlformats.org/spreadsheetml/2006/main">
  <sheetPr codeName="文本(UI)">
    <tabColor/>
  </sheetPr>
  <dimension ref="F200"/>
  <sheetViews>
    <sheetView showGridLines="1" workbookViewId="0"/>
  </sheetViews>
  <sheetFormatPr baseColWidth="13" defaultRowHeight="18" customHeight="1"/>
  <cols>
    <col min="1" max="1" width="33.043" style="75" customWidth="1"/>
    <col min="2" max="2" width="13.6719" style="73"/>
    <col min="3" max="3" width="13.6719" style="73"/>
    <col min="4" max="4" width="19.6914" style="73" customWidth="1"/>
    <col min="5" max="5" width="21.1719" style="73" customWidth="1"/>
    <col min="6" max="6" width="13.6719" style="75"/>
  </cols>
  <sheetData>
    <row r="1" spans="1:6">
      <c r="A1" s="6" t="s"/>
      <c r="B1" s="8" t="s">
        <v>991</v>
      </c>
      <c r="C1" s="8" t="s">
        <v>115</v>
      </c>
      <c r="D1" s="8" t="s">
        <v>119</v>
      </c>
      <c r="E1" s="8" t="s">
        <v>120</v>
      </c>
      <c r="F1" s="6" t="s">
        <v>992</v>
      </c>
    </row>
    <row r="2" spans="2:6">
      <c r="B2" s="20" t="s"/>
      <c r="F2" s="6" t="str">
        <f>=_xlfn.SWITCH(B2,"","","UI","Widget","物品类型","ItemType","任务类型","TaskType","语言","Language")</f>
        <v/>
      </c>
    </row>
    <row r="3" spans="1:6">
      <c r="A3" s="6" t="str">
        <f>=IF(ISBLANK(C3),"","TXT_"&amp;F3&amp;"_"&amp;C3)</f>
        <v>TXT_Widget_开始游戏</v>
      </c>
      <c r="B3" s="20" t="s">
        <v>994</v>
      </c>
      <c r="C3" s="32" t="s">
        <v>995</v>
      </c>
      <c r="D3" s="32" t="s">
        <v>996</v>
      </c>
      <c r="E3" s="32" t="s">
        <v>997</v>
      </c>
      <c r="F3" s="6" t="str">
        <f>=_xlfn.SWITCH(B3,"","","UI","Widget","物品类型","ItemType","任务类型","TaskType","语言","Language")</f>
        <v>Widget</v>
      </c>
    </row>
    <row r="4" spans="1:6">
      <c r="A4" s="6" t="str">
        <f>=IF(ISBLANK(C4),"","TXT_"&amp;F4&amp;"_"&amp;C4)</f>
        <v>TXT_Widget_设置</v>
      </c>
      <c r="B4" s="20" t="s">
        <v>994</v>
      </c>
      <c r="C4" s="32" t="s">
        <v>1000</v>
      </c>
      <c r="D4" s="32" t="s">
        <v>1001</v>
      </c>
      <c r="E4" s="32" t="s">
        <v>1002</v>
      </c>
      <c r="F4" s="6" t="str">
        <f>=_xlfn.SWITCH(B4,"","","UI","Widget","物品类型","ItemType","任务类型","TaskType","语言","Language")</f>
        <v>Widget</v>
      </c>
    </row>
    <row r="5" spans="1:6">
      <c r="A5" s="6" t="str">
        <f>=IF(ISBLANK(C5),"","TXT_"&amp;F5&amp;"_"&amp;C5)</f>
        <v>TXT_Widget_退出游戏</v>
      </c>
      <c r="B5" s="20" t="s">
        <v>994</v>
      </c>
      <c r="C5" s="32" t="s">
        <v>1004</v>
      </c>
      <c r="D5" s="32" t="s">
        <v>1005</v>
      </c>
      <c r="E5" s="32" t="s">
        <v>1006</v>
      </c>
      <c r="F5" s="6" t="str">
        <f>=_xlfn.SWITCH(B5,"","","UI","Widget","物品类型","ItemType","任务类型","TaskType","语言","Language")</f>
        <v>Widget</v>
      </c>
    </row>
    <row r="6" spans="1:6">
      <c r="A6" s="6" t="str">
        <f>=IF(ISBLANK(C6),"","TXT_"&amp;F6&amp;"_"&amp;C6)</f>
        <v>TXT_Widget_游戏设置</v>
      </c>
      <c r="B6" s="20" t="s">
        <v>994</v>
      </c>
      <c r="C6" s="32" t="s">
        <v>1008</v>
      </c>
      <c r="D6" s="32" t="s">
        <v>1009</v>
      </c>
      <c r="E6" s="32" t="s">
        <v>1010</v>
      </c>
      <c r="F6" s="6" t="str">
        <f>=_xlfn.SWITCH(B6,"","","UI","Widget","物品类型","ItemType","任务类型","TaskType","语言","Language")</f>
        <v>Widget</v>
      </c>
    </row>
    <row r="7" spans="1:6">
      <c r="A7" s="6" t="str">
        <f>=IF(ISBLANK(C7),"","TXT_"&amp;F7&amp;"_"&amp;C7)</f>
        <v>TXT_Widget_视频设置</v>
      </c>
      <c r="B7" s="20" t="s">
        <v>994</v>
      </c>
      <c r="C7" s="32" t="s">
        <v>1012</v>
      </c>
      <c r="D7" s="32" t="s">
        <v>1013</v>
      </c>
      <c r="E7" s="32" t="s">
        <v>1014</v>
      </c>
      <c r="F7" s="6" t="str">
        <f>=_xlfn.SWITCH(B7,"","","UI","Widget","物品类型","ItemType","任务类型","TaskType","语言","Language")</f>
        <v>Widget</v>
      </c>
    </row>
    <row r="8" spans="1:6">
      <c r="A8" s="6" t="str">
        <f>=IF(ISBLANK(C8),"","TXT_"&amp;F8&amp;"_"&amp;C8)</f>
        <v>TXT_Widget_音量设置</v>
      </c>
      <c r="B8" s="20" t="s">
        <v>994</v>
      </c>
      <c r="C8" s="32" t="s">
        <v>1016</v>
      </c>
      <c r="D8" s="32" t="s">
        <v>1017</v>
      </c>
      <c r="E8" s="32" t="s">
        <v>1018</v>
      </c>
      <c r="F8" s="6" t="str">
        <f>=_xlfn.SWITCH(B8,"","","UI","Widget","物品类型","ItemType","任务类型","TaskType","语言","Language")</f>
        <v>Widget</v>
      </c>
    </row>
    <row r="9" spans="1:6">
      <c r="A9" s="6" t="str">
        <f>=IF(ISBLANK(C9),"","TXT_"&amp;F9&amp;"_"&amp;C9)</f>
        <v>TXT_Widget_重置为默认</v>
      </c>
      <c r="B9" s="20" t="s">
        <v>994</v>
      </c>
      <c r="C9" s="32" t="s">
        <v>1020</v>
      </c>
      <c r="D9" s="32" t="s">
        <v>1021</v>
      </c>
      <c r="E9" s="32" t="s">
        <v>1022</v>
      </c>
      <c r="F9" s="6" t="str">
        <f>=_xlfn.SWITCH(B9,"","","UI","Widget","物品类型","ItemType","任务类型","TaskType","语言","Language")</f>
        <v>Widget</v>
      </c>
    </row>
    <row r="10" spans="1:6">
      <c r="A10" s="6" t="str">
        <f>=IF(ISBLANK(C10),"","TXT_"&amp;F10&amp;"_"&amp;C10)</f>
        <v>TXT_Widget_应用并保存</v>
      </c>
      <c r="B10" s="20" t="s">
        <v>994</v>
      </c>
      <c r="C10" s="32" t="s">
        <v>1024</v>
      </c>
      <c r="D10" s="32" t="s">
        <v>1025</v>
      </c>
      <c r="E10" s="32" t="s">
        <v>1026</v>
      </c>
      <c r="F10" s="6" t="str">
        <f>=_xlfn.SWITCH(B10,"","","UI","Widget","物品类型","ItemType","任务类型","TaskType","语言","Language")</f>
        <v>Widget</v>
      </c>
    </row>
    <row r="11" spans="1:6">
      <c r="A11" s="6" t="str">
        <f>=IF(ISBLANK(C11),"","TXT_"&amp;F11&amp;"_"&amp;C11)</f>
        <v>TXT_Widget_返回</v>
      </c>
      <c r="B11" s="20" t="s">
        <v>994</v>
      </c>
      <c r="C11" s="32" t="s">
        <v>1028</v>
      </c>
      <c r="D11" s="32" t="s">
        <v>1029</v>
      </c>
      <c r="E11" s="32" t="s">
        <v>1030</v>
      </c>
      <c r="F11" s="6" t="str">
        <f>=_xlfn.SWITCH(B11,"","","UI","Widget","物品类型","ItemType","任务类型","TaskType","语言","Language")</f>
        <v>Widget</v>
      </c>
    </row>
    <row r="12" spans="1:6">
      <c r="A12" s="6" t="str">
        <f>=IF(ISBLANK(C12),"","TXT_"&amp;F12&amp;"_"&amp;C12)</f>
        <v>TXT_Widget_文本速度</v>
      </c>
      <c r="B12" s="20" t="s">
        <v>994</v>
      </c>
      <c r="C12" s="32" t="s">
        <v>1032</v>
      </c>
      <c r="D12" s="32" t="s">
        <v>1033</v>
      </c>
      <c r="E12" s="32" t="s">
        <v>1034</v>
      </c>
      <c r="F12" s="6" t="str">
        <f>=_xlfn.SWITCH(B12,"","","UI","Widget","物品类型","ItemType","任务类型","TaskType","语言","Language")</f>
        <v>Widget</v>
      </c>
    </row>
    <row r="13" spans="1:6">
      <c r="A13" s="6" t="str">
        <f>=IF(ISBLANK(C13),"","TXT_"&amp;F13&amp;"_"&amp;C13)</f>
        <v>TXT_Widget_自动播放速度</v>
      </c>
      <c r="B13" s="20" t="s">
        <v>994</v>
      </c>
      <c r="C13" s="32" t="s">
        <v>1036</v>
      </c>
      <c r="D13" s="32" t="s">
        <v>1037</v>
      </c>
      <c r="E13" s="32" t="s">
        <v>1038</v>
      </c>
      <c r="F13" s="6" t="str">
        <f>=_xlfn.SWITCH(B13,"","","UI","Widget","物品类型","ItemType","任务类型","TaskType","语言","Language")</f>
        <v>Widget</v>
      </c>
    </row>
    <row r="14" spans="1:6">
      <c r="A14" s="6" t="str">
        <f>=IF(ISBLANK(C14),"","TXT_"&amp;F14&amp;"_"&amp;C14)</f>
        <v>TXT_Widget_语言</v>
      </c>
      <c r="B14" s="20" t="s">
        <v>994</v>
      </c>
      <c r="C14" s="32" t="s">
        <v>1040</v>
      </c>
      <c r="D14" s="32" t="s">
        <v>1041</v>
      </c>
      <c r="E14" s="32" t="s">
        <v>1042</v>
      </c>
      <c r="F14" s="6" t="str">
        <f>=_xlfn.SWITCH(B14,"","","UI","Widget","物品类型","ItemType","任务类型","TaskType","语言","Language")</f>
        <v>Widget</v>
      </c>
    </row>
    <row r="15" spans="1:6">
      <c r="A15" s="6" t="str">
        <f>=IF(ISBLANK(C15),"","TXT_"&amp;F15&amp;"_"&amp;C15)</f>
        <v>TXT_Widget_显示模式</v>
      </c>
      <c r="B15" s="20" t="s">
        <v>994</v>
      </c>
      <c r="C15" s="32" t="s">
        <v>1044</v>
      </c>
      <c r="D15" s="32" t="s">
        <v>1045</v>
      </c>
      <c r="E15" s="32" t="s">
        <v>1046</v>
      </c>
      <c r="F15" s="6" t="str">
        <f>=_xlfn.SWITCH(B15,"","","UI","Widget","物品类型","ItemType","任务类型","TaskType","语言","Language")</f>
        <v>Widget</v>
      </c>
    </row>
    <row r="16" spans="1:6">
      <c r="A16" s="6" t="str">
        <f>=IF(ISBLANK(C16),"","TXT_"&amp;F16&amp;"_"&amp;C16)</f>
        <v>TXT_Widget_分辨率</v>
      </c>
      <c r="B16" s="20" t="s">
        <v>994</v>
      </c>
      <c r="C16" s="32" t="s">
        <v>1048</v>
      </c>
      <c r="D16" s="32" t="s">
        <v>1049</v>
      </c>
      <c r="E16" s="32" t="s">
        <v>1050</v>
      </c>
      <c r="F16" s="6" t="str">
        <f>=_xlfn.SWITCH(B16,"","","UI","Widget","物品类型","ItemType","任务类型","TaskType","语言","Language")</f>
        <v>Widget</v>
      </c>
    </row>
    <row r="17" spans="1:6">
      <c r="A17" s="6" t="str">
        <f>=IF(ISBLANK(C17),"","TXT_"&amp;F17&amp;"_"&amp;C17)</f>
        <v>TXT_Widget_刷新率</v>
      </c>
      <c r="B17" s="20" t="s">
        <v>994</v>
      </c>
      <c r="C17" s="32" t="s">
        <v>1052</v>
      </c>
      <c r="D17" s="32" t="s">
        <v>1053</v>
      </c>
      <c r="E17" s="32" t="s">
        <v>1054</v>
      </c>
      <c r="F17" s="6" t="str">
        <f>=_xlfn.SWITCH(B17,"","","UI","Widget","物品类型","ItemType","任务类型","TaskType","语言","Language")</f>
        <v>Widget</v>
      </c>
    </row>
    <row r="18" spans="1:6">
      <c r="A18" s="6" t="str">
        <f>=IF(ISBLANK(C18),"","TXT_"&amp;F18&amp;"_"&amp;C18)</f>
        <v>TXT_Widget_总音量</v>
      </c>
      <c r="B18" s="20" t="s">
        <v>994</v>
      </c>
      <c r="C18" s="32" t="s">
        <v>1056</v>
      </c>
      <c r="D18" s="32" t="s">
        <v>1057</v>
      </c>
      <c r="E18" s="32" t="s">
        <v>1058</v>
      </c>
      <c r="F18" s="6" t="str">
        <f>=_xlfn.SWITCH(B18,"","","UI","Widget","物品类型","ItemType","任务类型","TaskType","语言","Language")</f>
        <v>Widget</v>
      </c>
    </row>
    <row r="19" spans="1:6">
      <c r="A19" s="6" t="str">
        <f>=IF(ISBLANK(C19),"","TXT_"&amp;F19&amp;"_"&amp;C19)</f>
        <v>TXT_Widget_背景音乐</v>
      </c>
      <c r="B19" s="20" t="s">
        <v>994</v>
      </c>
      <c r="C19" s="32" t="s">
        <v>1060</v>
      </c>
      <c r="D19" s="32" t="s">
        <v>1061</v>
      </c>
      <c r="E19" s="32" t="s">
        <v>1062</v>
      </c>
      <c r="F19" s="6" t="str">
        <f>=_xlfn.SWITCH(B19,"","","UI","Widget","物品类型","ItemType","任务类型","TaskType","语言","Language")</f>
        <v>Widget</v>
      </c>
    </row>
    <row r="20" spans="1:6">
      <c r="A20" s="6" t="str">
        <f>=IF(ISBLANK(C20),"","TXT_"&amp;F20&amp;"_"&amp;C20)</f>
        <v>TXT_Widget_音效</v>
      </c>
      <c r="B20" s="20" t="s">
        <v>994</v>
      </c>
      <c r="C20" s="32" t="s">
        <v>1064</v>
      </c>
      <c r="D20" s="32" t="s">
        <v>1065</v>
      </c>
      <c r="E20" s="32" t="s">
        <v>1066</v>
      </c>
      <c r="F20" s="6" t="str">
        <f>=_xlfn.SWITCH(B20,"","","UI","Widget","物品类型","ItemType","任务类型","TaskType","语言","Language")</f>
        <v>Widget</v>
      </c>
    </row>
    <row r="21" spans="1:6">
      <c r="A21" s="6" t="str">
        <f>=IF(ISBLANK(C21),"","TXT_"&amp;F21&amp;"_"&amp;C21)</f>
        <v>TXT_Widget_全屏</v>
      </c>
      <c r="B21" s="20" t="s">
        <v>994</v>
      </c>
      <c r="C21" s="32" t="s">
        <v>1068</v>
      </c>
      <c r="D21" s="32" t="s">
        <v>1069</v>
      </c>
      <c r="E21" s="32" t="s">
        <v>1070</v>
      </c>
      <c r="F21" s="6" t="str">
        <f>=_xlfn.SWITCH(B21,"","","UI","Widget","物品类型","ItemType","任务类型","TaskType","语言","Language")</f>
        <v>Widget</v>
      </c>
    </row>
    <row r="22" spans="1:6">
      <c r="A22" s="6" t="str">
        <f>=IF(ISBLANK(C22),"","TXT_"&amp;F22&amp;"_"&amp;C22)</f>
        <v>TXT_Widget_无边框</v>
      </c>
      <c r="B22" s="20" t="s">
        <v>994</v>
      </c>
      <c r="C22" s="32" t="s">
        <v>1072</v>
      </c>
      <c r="D22" s="32" t="s">
        <v>1073</v>
      </c>
      <c r="E22" s="32" t="s">
        <v>1074</v>
      </c>
      <c r="F22" s="6" t="str">
        <f>=_xlfn.SWITCH(B22,"","","UI","Widget","物品类型","ItemType","任务类型","TaskType","语言","Language")</f>
        <v>Widget</v>
      </c>
    </row>
    <row r="23" spans="1:6">
      <c r="A23" s="6" t="str">
        <f>=IF(ISBLANK(C23),"","TXT_"&amp;F23&amp;"_"&amp;C23)</f>
        <v>TXT_Widget_窗口化</v>
      </c>
      <c r="B23" s="20" t="s">
        <v>994</v>
      </c>
      <c r="C23" s="32" t="s">
        <v>1076</v>
      </c>
      <c r="D23" s="32" t="s">
        <v>1077</v>
      </c>
      <c r="E23" s="32" t="s">
        <v>1078</v>
      </c>
      <c r="F23" s="6" t="str">
        <f>=_xlfn.SWITCH(B23,"","","UI","Widget","物品类型","ItemType","任务类型","TaskType","语言","Language")</f>
        <v>Widget</v>
      </c>
    </row>
    <row r="24" spans="1:6">
      <c r="A24" s="6" t="str">
        <f>=IF(ISBLANK(C24),"","TXT_"&amp;F24&amp;"_"&amp;C24)</f>
        <v>TXT_Widget_加载存档</v>
      </c>
      <c r="B24" s="20" t="s">
        <v>994</v>
      </c>
      <c r="C24" s="8" t="s">
        <v>1080</v>
      </c>
      <c r="F24" s="6" t="str">
        <f>=_xlfn.SWITCH(B24,"","","UI","Widget","物品类型","ItemType","任务类型","TaskType","语言","Language")</f>
        <v>Widget</v>
      </c>
    </row>
    <row r="25" spans="1:6">
      <c r="A25" s="6" t="str">
        <f>=IF(ISBLANK(C25),"","TXT_"&amp;F25&amp;"_"&amp;C25)</f>
        <v>TXT_Widget_菜单</v>
      </c>
      <c r="B25" s="20" t="s">
        <v>994</v>
      </c>
      <c r="C25" s="8" t="s">
        <v>1082</v>
      </c>
      <c r="F25" s="6" t="str">
        <f>=_xlfn.SWITCH(B25,"","","UI","Widget","物品类型","ItemType","任务类型","TaskType","语言","Language")</f>
        <v>Widget</v>
      </c>
    </row>
    <row r="26" spans="1:6">
      <c r="A26" s="6" t="str">
        <f>=IF(ISBLANK(C26),"","TXT_"&amp;F26&amp;"_"&amp;C26)</f>
        <v>TXT_Widget_保存</v>
      </c>
      <c r="B26" s="20" t="s">
        <v>994</v>
      </c>
      <c r="C26" s="8" t="s">
        <v>1084</v>
      </c>
      <c r="F26" s="6" t="str">
        <f>=_xlfn.SWITCH(B26,"","","UI","Widget","物品类型","ItemType","任务类型","TaskType","语言","Language")</f>
        <v>Widget</v>
      </c>
    </row>
    <row r="27" spans="1:6">
      <c r="A27" s="6" t="str">
        <f>=IF(ISBLANK(C27),"","TXT_"&amp;F27&amp;"_"&amp;C27)</f>
        <v>TXT_Widget_退出至标题</v>
      </c>
      <c r="B27" s="20" t="s">
        <v>994</v>
      </c>
      <c r="C27" s="8" t="s">
        <v>1086</v>
      </c>
      <c r="F27" s="6" t="str">
        <f>=_xlfn.SWITCH(B27,"","","UI","Widget","物品类型","ItemType","任务类型","TaskType","语言","Language")</f>
        <v>Widget</v>
      </c>
    </row>
    <row r="28" spans="1:6">
      <c r="A28" s="6" t="str">
        <f>=IF(ISBLANK(C28),"","TXT_"&amp;F28&amp;"_"&amp;C28)</f>
        <v>TXT_Widget_新游戏</v>
      </c>
      <c r="B28" s="20" t="s">
        <v>994</v>
      </c>
      <c r="C28" s="8" t="s">
        <v>1088</v>
      </c>
      <c r="F28" s="6" t="str">
        <f>=_xlfn.SWITCH(B28,"","","UI","Widget","物品类型","ItemType","任务类型","TaskType","语言","Language")</f>
        <v>Widget</v>
      </c>
    </row>
    <row r="29" spans="1:6">
      <c r="A29" s="6" t="str">
        <f>=IF(ISBLANK(C29),"","TXT_"&amp;F29&amp;"_"&amp;C29)</f>
        <v/>
      </c>
      <c r="B29" s="20" t="s"/>
      <c r="F29" s="6" t="str">
        <f>=_xlfn.SWITCH(B29,"","","UI","Widget","物品类型","ItemType","任务类型","TaskType","语言","Language")</f>
        <v/>
      </c>
    </row>
    <row r="30" spans="1:6">
      <c r="A30" s="6" t="str">
        <f>=IF(ISBLANK(C30),"","TXT_"&amp;F30&amp;"_"&amp;C30)</f>
        <v>TXT_Language_简体中文</v>
      </c>
      <c r="B30" s="20" t="s">
        <v>1040</v>
      </c>
      <c r="C30" s="67" t="s">
        <v>1090</v>
      </c>
      <c r="D30" s="67" t="s">
        <v>1090</v>
      </c>
      <c r="E30" s="67" t="s">
        <v>1090</v>
      </c>
      <c r="F30" s="6" t="str">
        <f>=_xlfn.SWITCH(B30,"","","UI","Widget","物品类型","ItemType","任务类型","TaskType","语言","Language")</f>
        <v>Language</v>
      </c>
    </row>
    <row r="31" spans="1:6">
      <c r="A31" s="6" t="str">
        <f>=IF(ISBLANK(C31),"","TXT_"&amp;F31&amp;"_"&amp;C31)</f>
        <v>TXT_Language_English</v>
      </c>
      <c r="B31" s="20" t="s">
        <v>1040</v>
      </c>
      <c r="C31" s="32" t="s">
        <v>1092</v>
      </c>
      <c r="D31" s="32" t="s">
        <v>1092</v>
      </c>
      <c r="E31" s="32" t="s">
        <v>1092</v>
      </c>
      <c r="F31" s="6" t="str">
        <f>=_xlfn.SWITCH(B31,"","","UI","Widget","物品类型","ItemType","任务类型","TaskType","语言","Language")</f>
        <v>Language</v>
      </c>
    </row>
    <row r="32" spans="1:6">
      <c r="A32" s="6" t="str">
        <f>=IF(ISBLANK(C32),"","TXT_"&amp;F32&amp;"_"&amp;C32)</f>
        <v>TXT_Language_日本語</v>
      </c>
      <c r="B32" s="20" t="s">
        <v>1040</v>
      </c>
      <c r="C32" s="32" t="s">
        <v>1094</v>
      </c>
      <c r="D32" s="32" t="s">
        <v>1094</v>
      </c>
      <c r="E32" s="32" t="s">
        <v>1094</v>
      </c>
      <c r="F32" s="6" t="str">
        <f>=_xlfn.SWITCH(B32,"","","UI","Widget","物品类型","ItemType","任务类型","TaskType","语言","Language")</f>
        <v>Language</v>
      </c>
    </row>
    <row r="33" spans="1:6">
      <c r="A33" s="6" t="str">
        <f>=IF(ISBLANK(C33),"","TXT_"&amp;F33&amp;"_"&amp;C33)</f>
        <v/>
      </c>
      <c r="B33" s="20" t="s"/>
      <c r="C33" s="8" t="s"/>
      <c r="F33" s="6" t="str">
        <f>=_xlfn.SWITCH(B33,"","","UI","Widget","物品类型","ItemType","任务类型","TaskType","语言","Language")</f>
        <v/>
      </c>
    </row>
    <row r="34" spans="1:6">
      <c r="A34" s="6" t="str">
        <f>=IF(ISBLANK(C34),"","TXT_"&amp;F34&amp;"_"&amp;C34)</f>
        <v>TXT_ItemType_所有</v>
      </c>
      <c r="B34" s="20" t="s">
        <v>891</v>
      </c>
      <c r="C34" s="8" t="s">
        <v>1096</v>
      </c>
      <c r="F34" s="6" t="str">
        <f>=_xlfn.SWITCH(B34,"","","UI","Widget","物品类型","ItemType","任务类型","TaskType","语言","Language")</f>
        <v>ItemType</v>
      </c>
    </row>
    <row r="35" spans="1:6">
      <c r="A35" s="6" t="str">
        <f>=IF(ISBLANK(C35),"","TXT_"&amp;F35&amp;"_"&amp;C35)</f>
        <v>TXT_ItemType_其他</v>
      </c>
      <c r="B35" s="20" t="s">
        <v>891</v>
      </c>
      <c r="C35" s="8" t="s">
        <v>1099</v>
      </c>
      <c r="F35" s="6" t="str">
        <f>=_xlfn.SWITCH(B35,"","","UI","Widget","物品类型","ItemType","任务类型","TaskType","语言","Language")</f>
        <v>ItemType</v>
      </c>
    </row>
    <row r="36" spans="1:6">
      <c r="A36" s="6" t="str">
        <f>=IF(ISBLANK(C36),"","TXT_"&amp;F36&amp;"_"&amp;C36)</f>
        <v>TXT_ItemType_货币</v>
      </c>
      <c r="B36" s="20" t="s">
        <v>891</v>
      </c>
      <c r="C36" s="8" t="s">
        <v>1100</v>
      </c>
      <c r="F36" s="6" t="str">
        <f>=_xlfn.SWITCH(B36,"","","UI","Widget","物品类型","ItemType","任务类型","TaskType","语言","Language")</f>
        <v>ItemType</v>
      </c>
    </row>
    <row r="37" spans="1:6">
      <c r="A37" s="6" t="str">
        <f>=IF(ISBLANK(C37),"","TXT_"&amp;F37&amp;"_"&amp;C37)</f>
        <v>TXT_ItemType_好感度</v>
      </c>
      <c r="B37" s="20" t="s">
        <v>891</v>
      </c>
      <c r="C37" s="8" t="s">
        <v>1101</v>
      </c>
      <c r="F37" s="6" t="str">
        <f>=_xlfn.SWITCH(B37,"","","UI","Widget","物品类型","ItemType","任务类型","TaskType","语言","Language")</f>
        <v>ItemType</v>
      </c>
    </row>
    <row r="38" spans="1:6">
      <c r="A38" s="6" t="str">
        <f>=IF(ISBLANK(C38),"","TXT_"&amp;F38&amp;"_"&amp;C38)</f>
        <v>TXT_ItemType_任务道具</v>
      </c>
      <c r="B38" s="20" t="s">
        <v>891</v>
      </c>
      <c r="C38" s="8" t="s">
        <v>1103</v>
      </c>
      <c r="F38" s="6" t="str">
        <f>=_xlfn.SWITCH(B38,"","","UI","Widget","物品类型","ItemType","任务类型","TaskType","语言","Language")</f>
        <v>ItemType</v>
      </c>
    </row>
    <row r="39" spans="1:6">
      <c r="A39" s="6" t="str">
        <f>=IF(ISBLANK(C39),"","TXT_"&amp;F39&amp;"_"&amp;C39)</f>
        <v>TXT_ItemType_道具</v>
      </c>
      <c r="B39" s="20" t="s">
        <v>891</v>
      </c>
      <c r="C39" s="8" t="s">
        <v>1104</v>
      </c>
      <c r="F39" s="6" t="str">
        <f>=_xlfn.SWITCH(B39,"","","UI","Widget","物品类型","ItemType","任务类型","TaskType","语言","Language")</f>
        <v>ItemType</v>
      </c>
    </row>
    <row r="40" spans="1:6">
      <c r="A40" s="6" t="str">
        <f>=IF(ISBLANK(C40),"","TXT_"&amp;F40&amp;"_"&amp;C40)</f>
        <v/>
      </c>
      <c r="B40" s="20" t="s"/>
      <c r="F40" s="6" t="str">
        <f>=_xlfn.SWITCH(B40,"","","UI","Widget","物品类型","ItemType","任务类型","TaskType","语言","Language")</f>
        <v/>
      </c>
    </row>
    <row r="41" spans="1:6">
      <c r="A41" s="6" t="str">
        <f>=IF(ISBLANK(C41),"","TXT_"&amp;F41&amp;"_"&amp;C41)</f>
        <v>TXT_TaskType_所有</v>
      </c>
      <c r="B41" s="20" t="s">
        <v>406</v>
      </c>
      <c r="C41" s="8" t="s">
        <v>1096</v>
      </c>
      <c r="F41" s="6" t="str">
        <f>=_xlfn.SWITCH(B41,"","","UI","Widget","物品类型","ItemType","任务类型","TaskType","语言","Language")</f>
        <v>TaskType</v>
      </c>
    </row>
    <row r="42" spans="1:6">
      <c r="A42" s="6" t="str">
        <f>=IF(ISBLANK(C42),"","TXT_"&amp;F42&amp;"_"&amp;C42)</f>
        <v>TXT_TaskType_主线</v>
      </c>
      <c r="B42" s="20" t="s">
        <v>406</v>
      </c>
      <c r="C42" s="8" t="s">
        <v>1107</v>
      </c>
      <c r="F42" s="6" t="str">
        <f>=_xlfn.SWITCH(B42,"","","UI","Widget","物品类型","ItemType","任务类型","TaskType","语言","Language")</f>
        <v>TaskType</v>
      </c>
    </row>
    <row r="43" spans="1:6">
      <c r="A43" s="6" t="str">
        <f>=IF(ISBLANK(C43),"","TXT_"&amp;F43&amp;"_"&amp;C43)</f>
        <v>TXT_TaskType_支线</v>
      </c>
      <c r="B43" s="20" t="s">
        <v>406</v>
      </c>
      <c r="C43" s="8" t="s">
        <v>1108</v>
      </c>
      <c r="F43" s="6" t="str">
        <f>=_xlfn.SWITCH(B43,"","","UI","Widget","物品类型","ItemType","任务类型","TaskType","语言","Language")</f>
        <v>TaskType</v>
      </c>
    </row>
    <row r="44" spans="1:6">
      <c r="A44" s="6" t="str">
        <f>=IF(ISBLANK(C44),"","TXT_"&amp;F44&amp;"_"&amp;C44)</f>
        <v>TXT_TaskType_隐藏</v>
      </c>
      <c r="B44" s="20" t="s">
        <v>406</v>
      </c>
      <c r="C44" s="8" t="s">
        <v>1110</v>
      </c>
      <c r="F44" s="6" t="str">
        <f>=_xlfn.SWITCH(B44,"","","UI","Widget","物品类型","ItemType","任务类型","TaskType","语言","Language")</f>
        <v>TaskType</v>
      </c>
    </row>
    <row r="45" spans="1:6">
      <c r="A45" s="6" t="str">
        <f>=IF(ISBLANK(C45),"","TXT_"&amp;F45&amp;"_"&amp;C45)</f>
        <v>TXT_TaskType_子任务</v>
      </c>
      <c r="B45" s="20" t="s">
        <v>406</v>
      </c>
      <c r="C45" s="8" t="s">
        <v>1111</v>
      </c>
      <c r="F45" s="6" t="str">
        <f>=_xlfn.SWITCH(B45,"","","UI","Widget","物品类型","ItemType","任务类型","TaskType","语言","Language")</f>
        <v>TaskType</v>
      </c>
    </row>
    <row r="46" spans="1:6">
      <c r="A46" s="6" t="str">
        <f>=IF(ISBLANK(C46),"","TXT_"&amp;F46&amp;"_"&amp;C46)</f>
        <v/>
      </c>
      <c r="B46" s="20" t="s"/>
      <c r="F46" s="6" t="str">
        <f>=_xlfn.SWITCH(B46,"","","UI","Widget","物品类型","ItemType","任务类型","TaskType","语言","Language")</f>
        <v/>
      </c>
    </row>
    <row r="47" spans="1:6">
      <c r="A47" s="6" t="str">
        <f>=IF(ISBLANK(C47),"","TXT_"&amp;F47&amp;"_"&amp;C47)</f>
        <v>TXT_Widget_已完成</v>
      </c>
      <c r="B47" s="20" t="s">
        <v>994</v>
      </c>
      <c r="C47" s="8" t="s">
        <v>1113</v>
      </c>
      <c r="F47" s="6" t="str">
        <f>=_xlfn.SWITCH(B47,"","","UI","Widget","物品类型","ItemType","任务类型","TaskType","语言","Language")</f>
        <v>Widget</v>
      </c>
    </row>
    <row r="48" spans="1:6">
      <c r="A48" s="6" t="str">
        <f>=IF(ISBLANK(C48),"","TXT_"&amp;F48&amp;"_"&amp;C48)</f>
        <v>TXT_Widget_天数</v>
      </c>
      <c r="B48" s="20" t="s">
        <v>994</v>
      </c>
      <c r="C48" s="8" t="s">
        <v>1115</v>
      </c>
      <c r="F48" s="6" t="str">
        <f>=_xlfn.SWITCH(B48,"","","UI","Widget","物品类型","ItemType","任务类型","TaskType","语言","Language")</f>
        <v>Widget</v>
      </c>
    </row>
    <row r="49" spans="1:6">
      <c r="A49" s="6" t="str">
        <f>=IF(ISBLANK(C49),"","TXT_"&amp;F49&amp;"_"&amp;C49)</f>
        <v>TXT_Widget_时间</v>
      </c>
      <c r="B49" s="20" t="s">
        <v>994</v>
      </c>
      <c r="C49" s="8" t="s">
        <v>113</v>
      </c>
      <c r="F49" s="6" t="str">
        <f>=_xlfn.SWITCH(B49,"","","UI","Widget","物品类型","ItemType","任务类型","TaskType","语言","Language")</f>
        <v>Widget</v>
      </c>
    </row>
    <row r="50" spans="1:6">
      <c r="A50" s="6" t="str">
        <f>=IF(ISBLANK(C50),"","TXT_"&amp;F50&amp;"_"&amp;C50)</f>
        <v>TXT_Widget_金币</v>
      </c>
      <c r="B50" s="20" t="s">
        <v>994</v>
      </c>
      <c r="C50" s="8" t="s">
        <v>1118</v>
      </c>
      <c r="F50" s="6" t="str">
        <f>=_xlfn.SWITCH(B50,"","","UI","Widget","物品类型","ItemType","任务类型","TaskType","语言","Language")</f>
        <v>Widget</v>
      </c>
    </row>
    <row r="51" spans="1:6">
      <c r="A51" s="6" t="str">
        <f>=IF(ISBLANK(C51),"","TXT_"&amp;F51&amp;"_"&amp;C51)</f>
        <v>TXT_Widget_任务</v>
      </c>
      <c r="B51" s="20" t="s">
        <v>994</v>
      </c>
      <c r="C51" s="8" t="s">
        <v>105</v>
      </c>
      <c r="F51" s="6" t="str">
        <f>=_xlfn.SWITCH(B51,"","","UI","Widget","物品类型","ItemType","任务类型","TaskType","语言","Language")</f>
        <v>Widget</v>
      </c>
    </row>
    <row r="52" spans="1:6">
      <c r="A52" s="6" t="str">
        <f>=IF(ISBLANK(C52),"","TXT_"&amp;F52&amp;"_"&amp;C52)</f>
        <v>TXT_Widget_背包</v>
      </c>
      <c r="B52" s="20" t="s">
        <v>994</v>
      </c>
      <c r="C52" s="8" t="s">
        <v>1121</v>
      </c>
      <c r="F52" s="6" t="str">
        <f>=_xlfn.SWITCH(B52,"","","UI","Widget","物品类型","ItemType","任务类型","TaskType","语言","Language")</f>
        <v>Widget</v>
      </c>
    </row>
    <row r="53" spans="1:6">
      <c r="A53" s="6" t="str">
        <f>=IF(ISBLANK(C53),"","TXT_"&amp;F53&amp;"_"&amp;C53)</f>
        <v>TXT_Widget_菜单</v>
      </c>
      <c r="B53" s="20" t="s">
        <v>994</v>
      </c>
      <c r="C53" s="8" t="s">
        <v>1082</v>
      </c>
      <c r="F53" s="6" t="str">
        <f>=_xlfn.SWITCH(B53,"","","UI","Widget","物品类型","ItemType","任务类型","TaskType","语言","Language")</f>
        <v>Widget</v>
      </c>
    </row>
    <row r="54" spans="1:6">
      <c r="A54" s="6" t="str">
        <f>=IF(ISBLANK(C54),"","TXT_"&amp;F54&amp;"_"&amp;C54)</f>
        <v>TXT_Widget_任务列表</v>
      </c>
      <c r="B54" s="20" t="s">
        <v>994</v>
      </c>
      <c r="C54" s="8" t="s">
        <v>1123</v>
      </c>
      <c r="F54" s="6" t="str">
        <f>=_xlfn.SWITCH(B54,"","","UI","Widget","物品类型","ItemType","任务类型","TaskType","语言","Language")</f>
        <v>Widget</v>
      </c>
    </row>
    <row r="55" spans="1:6">
      <c r="A55" s="6" t="str">
        <f>=IF(ISBLANK(C55),"","TXT_"&amp;F55&amp;"_"&amp;C55)</f>
        <v/>
      </c>
      <c r="B55" s="20" t="s"/>
      <c r="F55" s="6" t="str">
        <f>=_xlfn.SWITCH(B55,"","","UI","Widget","物品类型","ItemType","任务类型","TaskType","语言","Language")</f>
        <v/>
      </c>
    </row>
    <row r="56" spans="1:6">
      <c r="A56" s="6" t="str">
        <f>=IF(ISBLANK(C56),"","TXT_"&amp;F56&amp;"_"&amp;C56)</f>
        <v/>
      </c>
      <c r="B56" s="20" t="s"/>
      <c r="F56" s="6" t="str">
        <f>=_xlfn.SWITCH(B56,"","","UI","Widget","物品类型","ItemType","任务类型","TaskType","语言","Language")</f>
        <v/>
      </c>
    </row>
    <row r="57" spans="1:6">
      <c r="A57" s="6" t="str">
        <f>=IF(ISBLANK(C57),"","TXT_"&amp;F57&amp;"_"&amp;C57)</f>
        <v/>
      </c>
      <c r="B57" s="20" t="s"/>
      <c r="F57" s="6" t="str">
        <f>=_xlfn.SWITCH(B57,"","","UI","Widget","物品类型","ItemType","任务类型","TaskType","语言","Language")</f>
        <v/>
      </c>
    </row>
    <row r="58" spans="1:6">
      <c r="A58" s="6" t="str">
        <f>=IF(ISBLANK(C58),"","TXT_"&amp;F58&amp;"_"&amp;C58)</f>
        <v/>
      </c>
      <c r="B58" s="20" t="s"/>
      <c r="F58" s="6" t="str">
        <f>=_xlfn.SWITCH(B58,"","","UI","Widget","物品类型","ItemType","任务类型","TaskType","语言","Language")</f>
        <v/>
      </c>
    </row>
    <row r="59" spans="1:6">
      <c r="A59" s="6" t="str">
        <f>=IF(ISBLANK(C59),"","TXT_"&amp;F59&amp;"_"&amp;C59)</f>
        <v/>
      </c>
      <c r="B59" s="20" t="s"/>
      <c r="F59" s="6" t="str">
        <f>=_xlfn.SWITCH(B59,"","","UI","Widget","物品类型","ItemType","任务类型","TaskType","语言","Language")</f>
        <v/>
      </c>
    </row>
    <row r="60" spans="1:6">
      <c r="A60" s="6" t="str">
        <f>=IF(ISBLANK(C60),"","TXT_"&amp;F60&amp;"_"&amp;C60)</f>
        <v/>
      </c>
      <c r="B60" s="20" t="s"/>
      <c r="F60" s="6" t="str">
        <f>=_xlfn.SWITCH(B60,"","","UI","Widget","物品类型","ItemType","任务类型","TaskType","语言","Language")</f>
        <v/>
      </c>
    </row>
    <row r="61" spans="1:6">
      <c r="A61" s="6" t="str">
        <f>=IF(ISBLANK(C61),"","TXT_"&amp;F61&amp;"_"&amp;C61)</f>
        <v/>
      </c>
      <c r="B61" s="20" t="s"/>
      <c r="F61" s="6" t="str">
        <f>=_xlfn.SWITCH(B61,"","","UI","Widget","物品类型","ItemType","任务类型","TaskType","语言","Language")</f>
        <v/>
      </c>
    </row>
    <row r="62" spans="1:6">
      <c r="A62" s="6" t="str">
        <f>=IF(ISBLANK(C62),"","TXT_"&amp;F62&amp;"_"&amp;C62)</f>
        <v/>
      </c>
      <c r="B62" s="20" t="s"/>
      <c r="F62" s="6" t="str">
        <f>=_xlfn.SWITCH(B62,"","","UI","Widget","物品类型","ItemType","任务类型","TaskType","语言","Language")</f>
        <v/>
      </c>
    </row>
    <row r="63" spans="1:6">
      <c r="A63" s="6" t="str">
        <f>=IF(ISBLANK(C63),"","TXT_"&amp;F63&amp;"_"&amp;C63)</f>
        <v/>
      </c>
      <c r="B63" s="20" t="s"/>
      <c r="F63" s="6" t="str">
        <f>=_xlfn.SWITCH(B63,"","","UI","Widget","物品类型","ItemType","任务类型","TaskType","语言","Language")</f>
        <v/>
      </c>
    </row>
    <row r="64" spans="1:6">
      <c r="A64" s="6" t="str">
        <f>=IF(ISBLANK(C64),"","TXT_"&amp;F64&amp;"_"&amp;C64)</f>
        <v/>
      </c>
      <c r="B64" s="20" t="s"/>
      <c r="F64" s="6" t="str">
        <f>=_xlfn.SWITCH(B64,"","","UI","Widget","物品类型","ItemType","任务类型","TaskType","语言","Language")</f>
        <v/>
      </c>
    </row>
    <row r="65" spans="1:6">
      <c r="A65" s="6" t="str">
        <f>=IF(ISBLANK(C65),"","TXT_"&amp;F65&amp;"_"&amp;C65)</f>
        <v/>
      </c>
      <c r="B65" s="20" t="s"/>
      <c r="F65" s="6" t="str">
        <f>=_xlfn.SWITCH(B65,"","","UI","Widget","物品类型","ItemType","任务类型","TaskType","语言","Language")</f>
        <v/>
      </c>
    </row>
    <row r="66" spans="1:6">
      <c r="A66" s="6" t="str">
        <f>=IF(ISBLANK(C66),"","TXT_"&amp;F66&amp;"_"&amp;C66)</f>
        <v/>
      </c>
      <c r="B66" s="20" t="s"/>
      <c r="F66" s="6" t="str">
        <f>=_xlfn.SWITCH(B66,"","","UI","Widget","物品类型","ItemType","任务类型","TaskType","语言","Language")</f>
        <v/>
      </c>
    </row>
    <row r="67" spans="1:6">
      <c r="A67" s="6" t="str">
        <f>=IF(ISBLANK(C67),"","TXT_"&amp;F67&amp;"_"&amp;C67)</f>
        <v/>
      </c>
      <c r="B67" s="20" t="s"/>
      <c r="F67" s="6" t="str">
        <f>=_xlfn.SWITCH(B67,"","","UI","Widget","物品类型","ItemType","任务类型","TaskType","语言","Language")</f>
        <v/>
      </c>
    </row>
    <row r="68" spans="1:6">
      <c r="A68" s="6" t="str">
        <f>=IF(ISBLANK(C68),"","TXT_"&amp;F68&amp;"_"&amp;C68)</f>
        <v/>
      </c>
      <c r="B68" s="20" t="s"/>
      <c r="F68" s="6" t="str">
        <f>=_xlfn.SWITCH(B68,"","","UI","Widget","物品类型","ItemType","任务类型","TaskType","语言","Language")</f>
        <v/>
      </c>
    </row>
    <row r="69" spans="1:6">
      <c r="A69" s="6" t="str">
        <f>=IF(ISBLANK(C69),"","TXT_"&amp;F69&amp;"_"&amp;C69)</f>
        <v/>
      </c>
      <c r="B69" s="20" t="s"/>
      <c r="F69" s="6" t="str">
        <f>=_xlfn.SWITCH(B69,"","","UI","Widget","物品类型","ItemType","任务类型","TaskType","语言","Language")</f>
        <v/>
      </c>
    </row>
    <row r="70" spans="1:6">
      <c r="A70" s="6" t="str">
        <f>=IF(ISBLANK(C70),"","TXT_"&amp;F70&amp;"_"&amp;C70)</f>
        <v/>
      </c>
      <c r="B70" s="20" t="s"/>
      <c r="F70" s="6" t="str">
        <f>=_xlfn.SWITCH(B70,"","","UI","Widget","物品类型","ItemType","任务类型","TaskType","语言","Language")</f>
        <v/>
      </c>
    </row>
    <row r="71" spans="1:6">
      <c r="A71" s="6" t="str">
        <f>=IF(ISBLANK(C71),"","TXT_"&amp;F71&amp;"_"&amp;C71)</f>
        <v/>
      </c>
      <c r="B71" s="20" t="s"/>
      <c r="F71" s="6" t="str">
        <f>=_xlfn.SWITCH(B71,"","","UI","Widget","物品类型","ItemType","任务类型","TaskType","语言","Language")</f>
        <v/>
      </c>
    </row>
    <row r="72" spans="1:6">
      <c r="A72" s="6" t="str">
        <f>=IF(ISBLANK(C72),"","TXT_"&amp;F72&amp;"_"&amp;C72)</f>
        <v/>
      </c>
      <c r="B72" s="20" t="s"/>
      <c r="F72" s="6" t="str">
        <f>=_xlfn.SWITCH(B72,"","","UI","Widget","物品类型","ItemType","任务类型","TaskType","语言","Language")</f>
        <v/>
      </c>
    </row>
    <row r="73" spans="1:6">
      <c r="A73" s="6" t="str">
        <f>=IF(ISBLANK(C73),"","TXT_"&amp;F73&amp;"_"&amp;C73)</f>
        <v/>
      </c>
      <c r="B73" s="20" t="s"/>
      <c r="F73" s="6" t="str">
        <f>=_xlfn.SWITCH(B73,"","","UI","Widget","物品类型","ItemType","任务类型","TaskType","语言","Language")</f>
        <v/>
      </c>
    </row>
    <row r="74" spans="1:6">
      <c r="A74" s="6" t="str">
        <f>=IF(ISBLANK(C74),"","TXT_"&amp;F74&amp;"_"&amp;C74)</f>
        <v/>
      </c>
      <c r="B74" s="20" t="s"/>
      <c r="F74" s="6" t="str">
        <f>=_xlfn.SWITCH(B74,"","","UI","Widget","物品类型","ItemType","任务类型","TaskType","语言","Language")</f>
        <v/>
      </c>
    </row>
    <row r="75" spans="1:6">
      <c r="A75" s="6" t="str">
        <f>=IF(ISBLANK(C75),"","TXT_"&amp;F75&amp;"_"&amp;C75)</f>
        <v/>
      </c>
      <c r="B75" s="20" t="s"/>
      <c r="F75" s="6" t="str">
        <f>=_xlfn.SWITCH(B75,"","","UI","Widget","物品类型","ItemType","任务类型","TaskType","语言","Language")</f>
        <v/>
      </c>
    </row>
    <row r="76" spans="1:6">
      <c r="A76" s="6" t="str">
        <f>=IF(ISBLANK(C76),"","TXT_"&amp;F76&amp;"_"&amp;C76)</f>
        <v/>
      </c>
      <c r="B76" s="20" t="s"/>
      <c r="F76" s="6" t="str">
        <f>=_xlfn.SWITCH(B76,"","","UI","Widget","物品类型","ItemType","任务类型","TaskType","语言","Language")</f>
        <v/>
      </c>
    </row>
    <row r="77" spans="1:6">
      <c r="A77" s="6" t="str">
        <f>=IF(ISBLANK(C77),"","TXT_"&amp;F77&amp;"_"&amp;C77)</f>
        <v/>
      </c>
      <c r="B77" s="20" t="s"/>
      <c r="F77" s="6" t="str">
        <f>=_xlfn.SWITCH(B77,"","","UI","Widget","物品类型","ItemType","任务类型","TaskType","语言","Language")</f>
        <v/>
      </c>
    </row>
    <row r="78" spans="1:6">
      <c r="A78" s="6" t="str">
        <f>=IF(ISBLANK(C78),"","TXT_"&amp;F78&amp;"_"&amp;C78)</f>
        <v/>
      </c>
      <c r="B78" s="20" t="s"/>
      <c r="F78" s="6" t="str">
        <f>=_xlfn.SWITCH(B78,"","","UI","Widget","物品类型","ItemType","任务类型","TaskType","语言","Language")</f>
        <v/>
      </c>
    </row>
    <row r="79" spans="2:6">
      <c r="B79" s="20" t="s"/>
      <c r="F79" s="6" t="str">
        <f>=_xlfn.SWITCH(B79,"","","UI","Widget","物品类型","ItemType","任务类型","TaskType","语言","Language")</f>
        <v/>
      </c>
    </row>
    <row r="80" spans="2:6">
      <c r="B80" s="20" t="s"/>
      <c r="F80" s="6" t="str">
        <f>=_xlfn.SWITCH(B80,"","","UI","Widget","物品类型","ItemType","任务类型","TaskType","语言","Language")</f>
        <v/>
      </c>
    </row>
    <row r="81" spans="2:6">
      <c r="B81" s="20" t="s"/>
      <c r="F81" s="6" t="str">
        <f>=_xlfn.SWITCH(B81,"","","UI","Widget","物品类型","ItemType","任务类型","TaskType","语言","Language")</f>
        <v/>
      </c>
    </row>
    <row r="82" spans="2:6">
      <c r="B82" s="20" t="s"/>
      <c r="F82" s="6" t="str">
        <f>=_xlfn.SWITCH(B82,"","","UI","Widget","物品类型","ItemType","任务类型","TaskType","语言","Language")</f>
        <v/>
      </c>
    </row>
    <row r="83" spans="2:6">
      <c r="B83" s="20" t="s"/>
      <c r="F83" s="6" t="str">
        <f>=_xlfn.SWITCH(B83,"","","UI","Widget","物品类型","ItemType","任务类型","TaskType","语言","Language")</f>
        <v/>
      </c>
    </row>
    <row r="84" spans="2:6">
      <c r="B84" s="20" t="s"/>
      <c r="F84" s="6" t="str">
        <f>=_xlfn.SWITCH(B84,"","","UI","Widget","物品类型","ItemType","任务类型","TaskType","语言","Language")</f>
        <v/>
      </c>
    </row>
    <row r="85" spans="2:6">
      <c r="B85" s="20" t="s"/>
      <c r="F85" s="6" t="str">
        <f>=_xlfn.SWITCH(B85,"","","UI","Widget","物品类型","ItemType","任务类型","TaskType","语言","Language")</f>
        <v/>
      </c>
    </row>
    <row r="86" spans="2:6">
      <c r="B86" s="20" t="s"/>
      <c r="F86" s="6" t="str">
        <f>=_xlfn.SWITCH(B86,"","","UI","Widget","物品类型","ItemType","任务类型","TaskType","语言","Language")</f>
        <v/>
      </c>
    </row>
    <row r="87" spans="2:6">
      <c r="B87" s="20" t="s"/>
      <c r="F87" s="6" t="str">
        <f>=_xlfn.SWITCH(B87,"","","UI","Widget","物品类型","ItemType","任务类型","TaskType","语言","Language")</f>
        <v/>
      </c>
    </row>
    <row r="88" spans="2:6">
      <c r="B88" s="20" t="s"/>
      <c r="F88" s="6" t="str">
        <f>=_xlfn.SWITCH(B88,"","","UI","Widget","物品类型","ItemType","任务类型","TaskType","语言","Language")</f>
        <v/>
      </c>
    </row>
    <row r="89" spans="2:6">
      <c r="B89" s="20" t="s"/>
      <c r="F89" s="6" t="str">
        <f>=_xlfn.SWITCH(B89,"","","UI","Widget","物品类型","ItemType","任务类型","TaskType","语言","Language")</f>
        <v/>
      </c>
    </row>
    <row r="90" spans="2:6">
      <c r="B90" s="20" t="s"/>
      <c r="F90" s="6" t="str">
        <f>=_xlfn.SWITCH(B90,"","","UI","Widget","物品类型","ItemType","任务类型","TaskType","语言","Language")</f>
        <v/>
      </c>
    </row>
    <row r="91" spans="2:6">
      <c r="B91" s="20" t="s"/>
      <c r="F91" s="6" t="str">
        <f>=_xlfn.SWITCH(B91,"","","UI","Widget","物品类型","ItemType","任务类型","TaskType","语言","Language")</f>
        <v/>
      </c>
    </row>
    <row r="92" spans="2:6">
      <c r="B92" s="20" t="s"/>
      <c r="F92" s="6" t="str">
        <f>=_xlfn.SWITCH(B92,"","","UI","Widget","物品类型","ItemType","任务类型","TaskType","语言","Language")</f>
        <v/>
      </c>
    </row>
    <row r="93" spans="2:6">
      <c r="B93" s="20" t="s"/>
      <c r="F93" s="6" t="str">
        <f>=_xlfn.SWITCH(B93,"","","UI","Widget","物品类型","ItemType","任务类型","TaskType","语言","Language")</f>
        <v/>
      </c>
    </row>
    <row r="94" spans="2:6">
      <c r="B94" s="20" t="s"/>
      <c r="F94" s="6" t="str">
        <f>=_xlfn.SWITCH(B94,"","","UI","Widget","物品类型","ItemType","任务类型","TaskType","语言","Language")</f>
        <v/>
      </c>
    </row>
    <row r="95" spans="2:6">
      <c r="B95" s="20" t="s"/>
      <c r="F95" s="6" t="str">
        <f>=_xlfn.SWITCH(B95,"","","UI","Widget","物品类型","ItemType","任务类型","TaskType","语言","Language")</f>
        <v/>
      </c>
    </row>
    <row r="96" spans="2:6">
      <c r="B96" s="20" t="s"/>
      <c r="F96" s="6" t="str">
        <f>=_xlfn.SWITCH(B96,"","","UI","Widget","物品类型","ItemType","任务类型","TaskType","语言","Language")</f>
        <v/>
      </c>
    </row>
    <row r="97" spans="2:6">
      <c r="B97" s="20" t="s"/>
      <c r="F97" s="6" t="str">
        <f>=_xlfn.SWITCH(B97,"","","UI","Widget","物品类型","ItemType","任务类型","TaskType","语言","Language")</f>
        <v/>
      </c>
    </row>
    <row r="98" spans="2:6">
      <c r="B98" s="20" t="s"/>
      <c r="F98" s="6" t="str">
        <f>=_xlfn.SWITCH(B98,"","","UI","Widget","物品类型","ItemType","任务类型","TaskType","语言","Language")</f>
        <v/>
      </c>
    </row>
    <row r="99" spans="2:6">
      <c r="B99" s="20" t="s"/>
      <c r="F99" s="6" t="str">
        <f>=_xlfn.SWITCH(B99,"","","UI","Widget","物品类型","ItemType","任务类型","TaskType","语言","Language")</f>
        <v/>
      </c>
    </row>
    <row r="100" spans="2:6">
      <c r="B100" s="20" t="s"/>
      <c r="F100" s="6" t="str">
        <f>=_xlfn.SWITCH(B100,"","","UI","Widget","物品类型","ItemType","任务类型","TaskType","语言","Language")</f>
        <v/>
      </c>
    </row>
    <row r="101" spans="2:6">
      <c r="B101" s="20" t="s"/>
      <c r="F101" s="6" t="str">
        <f>=_xlfn.SWITCH(B101,"","","UI","Widget","物品类型","ItemType","任务类型","TaskType","语言","Language")</f>
        <v/>
      </c>
    </row>
    <row r="102" spans="2:6">
      <c r="B102" s="20" t="s"/>
      <c r="F102" s="6" t="str">
        <f>=_xlfn.SWITCH(B102,"","","UI","Widget","物品类型","ItemType","任务类型","TaskType","语言","Language")</f>
        <v/>
      </c>
    </row>
    <row r="103" spans="2:6">
      <c r="B103" s="20" t="s"/>
      <c r="F103" s="6" t="str">
        <f>=_xlfn.SWITCH(B103,"","","UI","Widget","物品类型","ItemType","任务类型","TaskType","语言","Language")</f>
        <v/>
      </c>
    </row>
    <row r="104" spans="2:6">
      <c r="B104" s="20" t="s"/>
      <c r="F104" s="6" t="str">
        <f>=_xlfn.SWITCH(B104,"","","UI","Widget","物品类型","ItemType","任务类型","TaskType","语言","Language")</f>
        <v/>
      </c>
    </row>
    <row r="105" spans="2:6">
      <c r="B105" s="20" t="s"/>
      <c r="F105" s="6" t="str">
        <f>=_xlfn.SWITCH(B105,"","","UI","Widget","物品类型","ItemType","任务类型","TaskType","语言","Language")</f>
        <v/>
      </c>
    </row>
    <row r="106" spans="2:6">
      <c r="B106" s="20" t="s"/>
      <c r="F106" s="6" t="str">
        <f>=_xlfn.SWITCH(B106,"","","UI","Widget","物品类型","ItemType","任务类型","TaskType","语言","Language")</f>
        <v/>
      </c>
    </row>
    <row r="107" spans="2:6">
      <c r="B107" s="20" t="s"/>
      <c r="F107" s="6" t="str">
        <f>=_xlfn.SWITCH(B107,"","","UI","Widget","物品类型","ItemType","任务类型","TaskType","语言","Language")</f>
        <v/>
      </c>
    </row>
    <row r="108" spans="2:6">
      <c r="B108" s="20" t="s"/>
      <c r="F108" s="6" t="str">
        <f>=_xlfn.SWITCH(B108,"","","UI","Widget","物品类型","ItemType","任务类型","TaskType","语言","Language")</f>
        <v/>
      </c>
    </row>
    <row r="109" spans="2:6">
      <c r="B109" s="20" t="s"/>
      <c r="F109" s="6" t="str">
        <f>=_xlfn.SWITCH(B109,"","","UI","Widget","物品类型","ItemType","任务类型","TaskType","语言","Language")</f>
        <v/>
      </c>
    </row>
    <row r="110" spans="2:6">
      <c r="B110" s="20" t="s"/>
      <c r="F110" s="6" t="str">
        <f>=_xlfn.SWITCH(B110,"","","UI","Widget","物品类型","ItemType","任务类型","TaskType","语言","Language")</f>
        <v/>
      </c>
    </row>
    <row r="111" spans="2:6">
      <c r="B111" s="20" t="s"/>
      <c r="F111" s="6" t="str">
        <f>=_xlfn.SWITCH(B111,"","","UI","Widget","物品类型","ItemType","任务类型","TaskType","语言","Language")</f>
        <v/>
      </c>
    </row>
    <row r="112" spans="2:6">
      <c r="B112" s="20" t="s"/>
      <c r="F112" s="6" t="str">
        <f>=_xlfn.SWITCH(B112,"","","UI","Widget","物品类型","ItemType","任务类型","TaskType","语言","Language")</f>
        <v/>
      </c>
    </row>
    <row r="113" spans="2:6">
      <c r="B113" s="20" t="s"/>
      <c r="F113" s="6" t="str">
        <f>=_xlfn.SWITCH(B113,"","","UI","Widget","物品类型","ItemType","任务类型","TaskType","语言","Language")</f>
        <v/>
      </c>
    </row>
    <row r="114" spans="2:6">
      <c r="B114" s="20" t="s"/>
      <c r="F114" s="6" t="str">
        <f>=_xlfn.SWITCH(B114,"","","UI","Widget","物品类型","ItemType","任务类型","TaskType","语言","Language")</f>
        <v/>
      </c>
    </row>
    <row r="115" spans="2:6">
      <c r="B115" s="20" t="s"/>
      <c r="F115" s="6" t="str">
        <f>=_xlfn.SWITCH(B115,"","","UI","Widget","物品类型","ItemType","任务类型","TaskType","语言","Language")</f>
        <v/>
      </c>
    </row>
    <row r="116" spans="2:6">
      <c r="B116" s="20" t="s"/>
      <c r="F116" s="6" t="str">
        <f>=_xlfn.SWITCH(B116,"","","UI","Widget","物品类型","ItemType","任务类型","TaskType","语言","Language")</f>
        <v/>
      </c>
    </row>
    <row r="117" spans="2:6">
      <c r="B117" s="20" t="s"/>
      <c r="F117" s="6" t="str">
        <f>=_xlfn.SWITCH(B117,"","","UI","Widget","物品类型","ItemType","任务类型","TaskType","语言","Language")</f>
        <v/>
      </c>
    </row>
    <row r="118" spans="2:6">
      <c r="B118" s="20" t="s"/>
      <c r="F118" s="6" t="str">
        <f>=_xlfn.SWITCH(B118,"","","UI","Widget","物品类型","ItemType","任务类型","TaskType","语言","Language")</f>
        <v/>
      </c>
    </row>
    <row r="119" spans="2:6">
      <c r="B119" s="20" t="s"/>
      <c r="F119" s="6" t="str">
        <f>=_xlfn.SWITCH(B119,"","","UI","Widget","物品类型","ItemType","任务类型","TaskType","语言","Language")</f>
        <v/>
      </c>
    </row>
    <row r="120" spans="2:6">
      <c r="B120" s="20" t="s"/>
      <c r="F120" s="6" t="str">
        <f>=_xlfn.SWITCH(B120,"","","UI","Widget","物品类型","ItemType","任务类型","TaskType","语言","Language")</f>
        <v/>
      </c>
    </row>
    <row r="121" spans="2:6">
      <c r="B121" s="20" t="s"/>
      <c r="F121" s="6" t="str">
        <f>=_xlfn.SWITCH(B121,"","","UI","Widget","物品类型","ItemType","任务类型","TaskType","语言","Language")</f>
        <v/>
      </c>
    </row>
    <row r="122" spans="2:6">
      <c r="B122" s="20" t="s"/>
      <c r="F122" s="6" t="str">
        <f>=_xlfn.SWITCH(B122,"","","UI","Widget","物品类型","ItemType","任务类型","TaskType","语言","Language")</f>
        <v/>
      </c>
    </row>
    <row r="123" spans="2:6">
      <c r="B123" s="20" t="s"/>
      <c r="F123" s="6" t="str">
        <f>=_xlfn.SWITCH(B123,"","","UI","Widget","物品类型","ItemType","任务类型","TaskType","语言","Language")</f>
        <v/>
      </c>
    </row>
    <row r="124" spans="2:6">
      <c r="B124" s="20" t="s"/>
      <c r="F124" s="6" t="str">
        <f>=_xlfn.SWITCH(B124,"","","UI","Widget","物品类型","ItemType","任务类型","TaskType","语言","Language")</f>
        <v/>
      </c>
    </row>
    <row r="125" spans="2:6">
      <c r="B125" s="20" t="s"/>
      <c r="F125" s="6" t="str">
        <f>=_xlfn.SWITCH(B125,"","","UI","Widget","物品类型","ItemType","任务类型","TaskType","语言","Language")</f>
        <v/>
      </c>
    </row>
    <row r="126" spans="2:6">
      <c r="B126" s="20" t="s"/>
      <c r="F126" s="6" t="str">
        <f>=_xlfn.SWITCH(B126,"","","UI","Widget","物品类型","ItemType","任务类型","TaskType","语言","Language")</f>
        <v/>
      </c>
    </row>
    <row r="127" spans="2:6">
      <c r="B127" s="20" t="s"/>
      <c r="F127" s="6" t="str">
        <f>=_xlfn.SWITCH(B127,"","","UI","Widget","物品类型","ItemType","任务类型","TaskType","语言","Language")</f>
        <v/>
      </c>
    </row>
    <row r="128" spans="2:6">
      <c r="B128" s="20" t="s"/>
      <c r="F128" s="6" t="str">
        <f>=_xlfn.SWITCH(B128,"","","UI","Widget","物品类型","ItemType","任务类型","TaskType","语言","Language")</f>
        <v/>
      </c>
    </row>
    <row r="129" spans="2:6">
      <c r="B129" s="20" t="s"/>
      <c r="F129" s="6" t="str">
        <f>=_xlfn.SWITCH(B129,"","","UI","Widget","物品类型","ItemType","任务类型","TaskType","语言","Language")</f>
        <v/>
      </c>
    </row>
    <row r="130" spans="2:6">
      <c r="B130" s="20" t="s"/>
      <c r="F130" s="6" t="str">
        <f>=_xlfn.SWITCH(B130,"","","UI","Widget","物品类型","ItemType","任务类型","TaskType","语言","Language")</f>
        <v/>
      </c>
    </row>
    <row r="131" spans="2:6">
      <c r="B131" s="20" t="s"/>
      <c r="F131" s="6" t="str">
        <f>=_xlfn.SWITCH(B131,"","","UI","Widget","物品类型","ItemType","任务类型","TaskType","语言","Language")</f>
        <v/>
      </c>
    </row>
    <row r="132" spans="2:6">
      <c r="B132" s="20" t="s"/>
      <c r="F132" s="6" t="str">
        <f>=_xlfn.SWITCH(B132,"","","UI","Widget","物品类型","ItemType","任务类型","TaskType","语言","Language")</f>
        <v/>
      </c>
    </row>
    <row r="133" spans="2:6">
      <c r="B133" s="20" t="s"/>
      <c r="F133" s="6" t="str">
        <f>=_xlfn.SWITCH(B133,"","","UI","Widget","物品类型","ItemType","任务类型","TaskType","语言","Language")</f>
        <v/>
      </c>
    </row>
    <row r="134" spans="2:6">
      <c r="B134" s="20" t="s"/>
      <c r="F134" s="6" t="str">
        <f>=_xlfn.SWITCH(B134,"","","UI","Widget","物品类型","ItemType","任务类型","TaskType","语言","Language")</f>
        <v/>
      </c>
    </row>
    <row r="135" spans="2:6">
      <c r="B135" s="20" t="s"/>
      <c r="F135" s="6" t="str">
        <f>=_xlfn.SWITCH(B135,"","","UI","Widget","物品类型","ItemType","任务类型","TaskType","语言","Language")</f>
        <v/>
      </c>
    </row>
    <row r="136" spans="2:6">
      <c r="B136" s="20" t="s"/>
      <c r="F136" s="6" t="str">
        <f>=_xlfn.SWITCH(B136,"","","UI","Widget","物品类型","ItemType","任务类型","TaskType","语言","Language")</f>
        <v/>
      </c>
    </row>
    <row r="137" spans="2:6">
      <c r="B137" s="20" t="s"/>
      <c r="F137" s="6" t="str">
        <f>=_xlfn.SWITCH(B137,"","","UI","Widget","物品类型","ItemType","任务类型","TaskType","语言","Language")</f>
        <v/>
      </c>
    </row>
    <row r="138" spans="2:6">
      <c r="B138" s="20" t="s"/>
      <c r="F138" s="6" t="str">
        <f>=_xlfn.SWITCH(B138,"","","UI","Widget","物品类型","ItemType","任务类型","TaskType","语言","Language")</f>
        <v/>
      </c>
    </row>
    <row r="139" spans="2:6">
      <c r="B139" s="20" t="s"/>
      <c r="F139" s="6" t="str">
        <f>=_xlfn.SWITCH(B139,"","","UI","Widget","物品类型","ItemType","任务类型","TaskType","语言","Language")</f>
        <v/>
      </c>
    </row>
    <row r="140" spans="2:6">
      <c r="B140" s="20" t="s"/>
      <c r="F140" s="6" t="str">
        <f>=_xlfn.SWITCH(B140,"","","UI","Widget","物品类型","ItemType","任务类型","TaskType","语言","Language")</f>
        <v/>
      </c>
    </row>
    <row r="141" spans="2:6">
      <c r="B141" s="20" t="s"/>
      <c r="F141" s="6" t="str">
        <f>=_xlfn.SWITCH(B141,"","","UI","Widget","物品类型","ItemType","任务类型","TaskType","语言","Language")</f>
        <v/>
      </c>
    </row>
    <row r="142" spans="2:6">
      <c r="B142" s="20" t="s"/>
      <c r="F142" s="6" t="str">
        <f>=_xlfn.SWITCH(B142,"","","UI","Widget","物品类型","ItemType","任务类型","TaskType","语言","Language")</f>
        <v/>
      </c>
    </row>
    <row r="143" spans="2:6">
      <c r="B143" s="20" t="s"/>
      <c r="F143" s="6" t="str">
        <f>=_xlfn.SWITCH(B143,"","","UI","Widget","物品类型","ItemType","任务类型","TaskType","语言","Language")</f>
        <v/>
      </c>
    </row>
    <row r="144" spans="2:6">
      <c r="B144" s="20" t="s"/>
      <c r="F144" s="6" t="str">
        <f>=_xlfn.SWITCH(B144,"","","UI","Widget","物品类型","ItemType","任务类型","TaskType","语言","Language")</f>
        <v/>
      </c>
    </row>
    <row r="145" spans="2:6">
      <c r="B145" s="20" t="s"/>
      <c r="F145" s="6" t="str">
        <f>=_xlfn.SWITCH(B145,"","","UI","Widget","物品类型","ItemType","任务类型","TaskType","语言","Language")</f>
        <v/>
      </c>
    </row>
    <row r="146" spans="2:6">
      <c r="B146" s="20" t="s"/>
      <c r="F146" s="6" t="str">
        <f>=_xlfn.SWITCH(B146,"","","UI","Widget","物品类型","ItemType","任务类型","TaskType","语言","Language")</f>
        <v/>
      </c>
    </row>
    <row r="147" spans="2:6">
      <c r="B147" s="20" t="s"/>
      <c r="F147" s="6" t="str">
        <f>=_xlfn.SWITCH(B147,"","","UI","Widget","物品类型","ItemType","任务类型","TaskType")</f>
        <v/>
      </c>
    </row>
    <row r="148" spans="2:6">
      <c r="B148" s="20" t="s"/>
      <c r="F148" s="6" t="str">
        <f>=_xlfn.SWITCH(B148,"","","UI","Widget","物品类型","ItemType","任务类型","TaskType")</f>
        <v/>
      </c>
    </row>
    <row r="149" spans="2:6">
      <c r="B149" s="20" t="s"/>
      <c r="F149" s="6" t="str">
        <f>=_xlfn.SWITCH(B149,"","","UI","Widget","物品类型","ItemType","任务类型","TaskType")</f>
        <v/>
      </c>
    </row>
    <row r="150" spans="2:6">
      <c r="B150" s="20" t="s"/>
      <c r="F150" s="6" t="str">
        <f>=_xlfn.SWITCH(B150,"","","UI","Widget","物品类型","ItemType","任务类型","TaskType")</f>
        <v/>
      </c>
    </row>
    <row r="151" spans="2:6">
      <c r="B151" s="20" t="s"/>
      <c r="F151" s="6" t="str">
        <f>=_xlfn.SWITCH(B151,"","","UI","Widget","物品类型","ItemType","任务类型","TaskType")</f>
        <v/>
      </c>
    </row>
    <row r="152" spans="2:6">
      <c r="B152" s="20" t="s"/>
      <c r="F152" s="6" t="str">
        <f>=_xlfn.SWITCH(B152,"","","UI","Widget","物品类型","ItemType","任务类型","TaskType")</f>
        <v/>
      </c>
    </row>
    <row r="153" spans="2:6">
      <c r="B153" s="20" t="s"/>
      <c r="F153" s="6" t="str">
        <f>=_xlfn.SWITCH(B153,"","","UI","Widget","物品类型","ItemType","任务类型","TaskType")</f>
        <v/>
      </c>
    </row>
    <row r="154" spans="2:6">
      <c r="B154" s="20" t="s"/>
      <c r="F154" s="6" t="str">
        <f>=_xlfn.SWITCH(B154,"","","UI","Widget","物品类型","ItemType","任务类型","TaskType")</f>
        <v/>
      </c>
    </row>
    <row r="155" spans="2:6">
      <c r="B155" s="20" t="s"/>
      <c r="F155" s="6" t="str">
        <f>=_xlfn.SWITCH(B155,"","","UI","Widget","物品类型","ItemType","任务类型","TaskType")</f>
        <v/>
      </c>
    </row>
    <row r="156" spans="2:6">
      <c r="B156" s="20" t="s"/>
      <c r="F156" s="6" t="str">
        <f>=_xlfn.SWITCH(B156,"","","UI","Widget","物品类型","ItemType","任务类型","TaskType")</f>
        <v/>
      </c>
    </row>
    <row r="157" spans="2:6">
      <c r="B157" s="20" t="s"/>
      <c r="F157" s="6" t="str">
        <f>=_xlfn.SWITCH(B157,"","","UI","Widget","物品类型","ItemType","任务类型","TaskType")</f>
        <v/>
      </c>
    </row>
    <row r="158" spans="2:6">
      <c r="B158" s="20" t="s"/>
      <c r="F158" s="6" t="str">
        <f>=_xlfn.SWITCH(B158,"","","UI","Widget","物品类型","ItemType","任务类型","TaskType")</f>
        <v/>
      </c>
    </row>
    <row r="159" spans="2:6">
      <c r="B159" s="20" t="s"/>
      <c r="F159" s="6" t="str">
        <f>=_xlfn.SWITCH(B159,"","","UI","Widget","物品类型","ItemType","任务类型","TaskType")</f>
        <v/>
      </c>
    </row>
    <row r="160" spans="2:6">
      <c r="B160" s="20" t="s"/>
      <c r="F160" s="6" t="str">
        <f>=_xlfn.SWITCH(B160,"","","UI","Widget","物品类型","ItemType","任务类型","TaskType")</f>
        <v/>
      </c>
    </row>
    <row r="161" spans="2:6">
      <c r="B161" s="20" t="s"/>
      <c r="F161" s="6" t="str">
        <f>=_xlfn.SWITCH(B161,"","","UI","Widget","物品类型","ItemType","任务类型","TaskType")</f>
        <v/>
      </c>
    </row>
    <row r="162" spans="2:6">
      <c r="B162" s="20" t="s"/>
      <c r="F162" s="6" t="str">
        <f>=_xlfn.SWITCH(B162,"","","UI","Widget","物品类型","ItemType","任务类型","TaskType")</f>
        <v/>
      </c>
    </row>
    <row r="163" spans="2:6">
      <c r="B163" s="20" t="s"/>
      <c r="F163" s="6" t="str">
        <f>=_xlfn.SWITCH(B163,"","","UI","Widget","物品类型","ItemType","任务类型","TaskType")</f>
        <v/>
      </c>
    </row>
    <row r="164" spans="2:6">
      <c r="B164" s="20" t="s"/>
      <c r="F164" s="6" t="str">
        <f>=_xlfn.SWITCH(B164,"","","UI","Widget","物品类型","ItemType","任务类型","TaskType")</f>
        <v/>
      </c>
    </row>
    <row r="165" spans="2:6">
      <c r="B165" s="20" t="s"/>
      <c r="F165" s="6" t="str">
        <f>=_xlfn.SWITCH(B165,"","","UI","Widget","物品类型","ItemType","任务类型","TaskType")</f>
        <v/>
      </c>
    </row>
    <row r="166" spans="2:6">
      <c r="B166" s="20" t="s"/>
      <c r="F166" s="6" t="str">
        <f>=_xlfn.SWITCH(B166,"","","UI","Widget","物品类型","ItemType","任务类型","TaskType")</f>
        <v/>
      </c>
    </row>
    <row r="167" spans="2:6">
      <c r="B167" s="20" t="s"/>
      <c r="F167" s="6" t="str">
        <f>=_xlfn.SWITCH(B167,"","","UI","Widget","物品类型","ItemType","任务类型","TaskType")</f>
        <v/>
      </c>
    </row>
    <row r="168" spans="2:6">
      <c r="B168" s="20" t="s"/>
      <c r="F168" s="6" t="str">
        <f>=_xlfn.SWITCH(B168,"","","UI","Widget","物品类型","ItemType","任务类型","TaskType")</f>
        <v/>
      </c>
    </row>
    <row r="169" spans="2:6">
      <c r="B169" s="20" t="s"/>
      <c r="F169" s="6" t="str">
        <f>=_xlfn.SWITCH(B169,"","","UI","Widget","物品类型","ItemType","任务类型","TaskType")</f>
        <v/>
      </c>
    </row>
    <row r="170" spans="2:6">
      <c r="B170" s="20" t="s"/>
      <c r="F170" s="6" t="str">
        <f>=_xlfn.SWITCH(B170,"","","UI","Widget","物品类型","ItemType","任务类型","TaskType")</f>
        <v/>
      </c>
    </row>
    <row r="171" spans="2:6">
      <c r="B171" s="20" t="s"/>
      <c r="F171" s="6" t="str">
        <f>=_xlfn.SWITCH(B171,"","","UI","Widget","物品类型","ItemType","任务类型","TaskType")</f>
        <v/>
      </c>
    </row>
    <row r="172" spans="2:2">
      <c r="B172" s="20" t="s"/>
    </row>
    <row r="173" spans="2:2">
      <c r="B173" s="20" t="s"/>
    </row>
    <row r="174" spans="2:2">
      <c r="B174" s="20" t="s"/>
    </row>
    <row r="175" spans="2:2">
      <c r="B175" s="20" t="s"/>
    </row>
    <row r="176" spans="2:2">
      <c r="B176" s="20" t="s"/>
    </row>
    <row r="177" spans="2:2">
      <c r="B177" s="20" t="s"/>
    </row>
    <row r="178" spans="2:2">
      <c r="B178" s="20" t="s"/>
    </row>
    <row r="179" spans="2:2">
      <c r="B179" s="20" t="s"/>
    </row>
    <row r="180" spans="2:2">
      <c r="B180" s="20" t="s"/>
    </row>
    <row r="181" spans="2:2">
      <c r="B181" s="20" t="s"/>
    </row>
    <row r="182" spans="2:2">
      <c r="B182" s="20" t="s"/>
    </row>
    <row r="183" spans="2:2">
      <c r="B183" s="20" t="s"/>
    </row>
    <row r="184" spans="2:2">
      <c r="B184" s="20" t="s"/>
    </row>
    <row r="185" spans="2:2">
      <c r="B185" s="20" t="s"/>
    </row>
    <row r="186" spans="2:2">
      <c r="B186" s="20" t="s"/>
    </row>
    <row r="187" spans="2:2">
      <c r="B187" s="20" t="s"/>
    </row>
    <row r="188" spans="2:2">
      <c r="B188" s="20" t="s"/>
    </row>
    <row r="189" spans="2:2">
      <c r="B189" s="20" t="s"/>
    </row>
    <row r="190" spans="2:2">
      <c r="B190" s="20" t="s"/>
    </row>
    <row r="191" spans="2:2">
      <c r="B191" s="20" t="s"/>
    </row>
    <row r="192" spans="2:2">
      <c r="B192" s="20" t="s"/>
    </row>
    <row r="193" spans="2:2">
      <c r="B193" s="20" t="s"/>
    </row>
    <row r="194" spans="2:2">
      <c r="B194" s="20" t="s"/>
    </row>
    <row r="195" spans="2:2">
      <c r="B195" s="20" t="s"/>
    </row>
    <row r="196" spans="2:2">
      <c r="B196" s="20" t="s"/>
    </row>
    <row r="197" spans="2:2">
      <c r="B197" s="20" t="s"/>
    </row>
    <row r="198" spans="2:2">
      <c r="B198" s="20" t="s"/>
    </row>
    <row r="199" spans="2:2">
      <c r="B199" s="20" t="s"/>
    </row>
    <row r="200" spans="2:2">
      <c r="B200" s="20" t="s"/>
    </row>
  </sheetData>
  <autoFilter ref="B1:B78">
    <sortState ref="B2:B78"/>
  </autoFilter>
  <dataValidations>
    <dataValidation type="list" errorStyle="stop" operator="between" allowBlank="1" showDropDown="0" showInputMessage="1" showErrorMessage="1" prompt="" sqref="B2:B200">
      <formula1>"UI,物品类型,任务类型,语言,"</formula1>
    </dataValidation>
  </dataValidations>
</worksheet>
</file>

<file path=xl/worksheets/sheet16.xml><?xml version="1.0" encoding="utf-8"?>
<worksheet xmlns="http://schemas.openxmlformats.org/spreadsheetml/2006/main">
  <sheetPr codeName="打工">
    <tabColor/>
  </sheetPr>
  <dimension ref="B21"/>
  <sheetViews>
    <sheetView showGridLines="1" workbookViewId="0"/>
  </sheetViews>
  <sheetFormatPr baseColWidth="13" defaultRowHeight="18" customHeight="1"/>
  <cols>
    <col min="1" max="1" width="16.4531" customWidth="1"/>
    <col min="2" max="2" width="15.7109" customWidth="1"/>
  </cols>
  <sheetData>
    <row r="1" spans="1:6">
      <c r="A1" s="4" t="s">
        <v>1124</v>
      </c>
      <c r="B1" s="4" t="s">
        <v>1125</v>
      </c>
      <c r="C1" s="4" t="s">
        <v>1126</v>
      </c>
      <c r="D1" s="4" t="s">
        <v>1127</v>
      </c>
      <c r="E1" s="4" t="s">
        <v>1128</v>
      </c>
      <c r="F1" s="4" t="s">
        <v>1129</v>
      </c>
    </row>
    <row r="2" spans="1:2">
      <c r="A2" s="4" t="s">
        <v>1130</v>
      </c>
      <c r="B2" s="4" t="s">
        <v>1131</v>
      </c>
    </row>
    <row r="3" spans="1:2">
      <c r="A3" s="4" t="s">
        <v>1130</v>
      </c>
      <c r="B3" s="4" t="s">
        <v>1132</v>
      </c>
    </row>
    <row r="4" spans="1:2">
      <c r="A4" s="4" t="s">
        <v>1130</v>
      </c>
      <c r="B4" s="4" t="s">
        <v>1133</v>
      </c>
    </row>
    <row r="5" spans="1:2">
      <c r="A5" s="4" t="s">
        <v>1130</v>
      </c>
      <c r="B5" s="4" t="s">
        <v>1134</v>
      </c>
    </row>
    <row r="6" spans="1:2">
      <c r="A6" s="4" t="s">
        <v>1130</v>
      </c>
      <c r="B6" s="4" t="s">
        <v>1135</v>
      </c>
    </row>
    <row r="7" spans="1:2">
      <c r="A7" s="4" t="s">
        <v>1130</v>
      </c>
      <c r="B7" s="4" t="s">
        <v>1136</v>
      </c>
    </row>
    <row r="8" spans="1:2">
      <c r="A8" s="4" t="s">
        <v>1137</v>
      </c>
      <c r="B8" s="68" t="s">
        <v>1131</v>
      </c>
    </row>
    <row r="9" spans="1:2">
      <c r="A9" s="4" t="s">
        <v>1137</v>
      </c>
      <c r="B9" s="68" t="s">
        <v>1132</v>
      </c>
    </row>
    <row r="10" spans="1:2">
      <c r="A10" s="4" t="s">
        <v>1137</v>
      </c>
      <c r="B10" s="68" t="s">
        <v>1138</v>
      </c>
    </row>
    <row r="11" spans="1:2">
      <c r="A11" s="4" t="s">
        <v>1137</v>
      </c>
      <c r="B11" s="68" t="s">
        <v>1139</v>
      </c>
    </row>
    <row r="12" spans="1:2">
      <c r="A12" s="4" t="s">
        <v>1140</v>
      </c>
      <c r="B12" s="4" t="s">
        <v>1141</v>
      </c>
    </row>
    <row r="13" spans="1:2">
      <c r="A13" s="4" t="s">
        <v>1142</v>
      </c>
      <c r="B13" s="4" t="s">
        <v>1143</v>
      </c>
    </row>
    <row r="14" spans="1:2">
      <c r="A14" s="4" t="s">
        <v>1144</v>
      </c>
      <c r="B14" s="68" t="s">
        <v>1141</v>
      </c>
    </row>
    <row r="15" spans="1:2">
      <c r="A15" s="4" t="s">
        <v>1144</v>
      </c>
      <c r="B15" s="68" t="s">
        <v>1145</v>
      </c>
    </row>
    <row r="16" spans="1:2">
      <c r="A16" s="4" t="s">
        <v>1144</v>
      </c>
      <c r="B16" s="68" t="s">
        <v>1133</v>
      </c>
    </row>
    <row r="17" spans="1:2">
      <c r="A17" s="4" t="s">
        <v>1146</v>
      </c>
      <c r="B17" s="68" t="s">
        <v>1147</v>
      </c>
    </row>
    <row r="18" spans="1:2">
      <c r="A18" s="4" t="s">
        <v>1146</v>
      </c>
      <c r="B18" s="68" t="s">
        <v>1148</v>
      </c>
    </row>
    <row r="19" spans="1:2">
      <c r="A19" s="4" t="s">
        <v>1146</v>
      </c>
      <c r="B19" s="68" t="s">
        <v>1149</v>
      </c>
    </row>
    <row r="20" spans="1:2">
      <c r="A20" s="4" t="s">
        <v>1150</v>
      </c>
      <c r="B20" s="68" t="s">
        <v>1151</v>
      </c>
    </row>
    <row r="21" spans="1:2">
      <c r="A21" s="4" t="s">
        <v>1150</v>
      </c>
      <c r="B21" s="68" t="s">
        <v>1152</v>
      </c>
    </row>
  </sheetData>
</worksheet>
</file>

<file path=xl/worksheets/sheet17.xml><?xml version="1.0" encoding="utf-8"?>
<worksheet xmlns="http://schemas.openxmlformats.org/spreadsheetml/2006/main">
  <sheetPr codeName="好感度">
    <tabColor/>
  </sheetPr>
  <dimension ref="C16"/>
  <sheetViews>
    <sheetView showGridLines="1" workbookViewId="0"/>
  </sheetViews>
  <sheetFormatPr baseColWidth="13" defaultRowHeight="18" customHeight="1"/>
  <cols>
    <col min="1" max="1" width="9.03125" customWidth="1"/>
    <col min="2" max="2" width="18.2109" customWidth="1"/>
    <col min="3" max="3" width="19.9609" customWidth="1"/>
  </cols>
  <sheetData>
    <row r="1" spans="1:8">
      <c r="A1" s="4" t="s">
        <v>1153</v>
      </c>
      <c r="B1" s="4" t="s">
        <v>1154</v>
      </c>
      <c r="C1" s="4" t="s">
        <v>1155</v>
      </c>
      <c r="D1" s="4" t="s">
        <v>1156</v>
      </c>
      <c r="E1" s="4" t="s">
        <v>1157</v>
      </c>
      <c r="F1" s="4" t="s">
        <v>1158</v>
      </c>
      <c r="G1" s="4" t="s">
        <v>1159</v>
      </c>
      <c r="H1" s="4" t="s">
        <v>1160</v>
      </c>
    </row>
    <row r="2" spans="1:3">
      <c r="A2" s="4">
        <v>1</v>
      </c>
      <c r="B2" s="43" t="s">
        <v>627</v>
      </c>
      <c r="C2" s="4" t="s">
        <v>1161</v>
      </c>
    </row>
    <row r="3" spans="1:2">
      <c r="A3" s="4">
        <v>2</v>
      </c>
      <c r="B3" s="43" t="s">
        <v>630</v>
      </c>
    </row>
    <row r="4" spans="1:2">
      <c r="A4" s="4">
        <v>3</v>
      </c>
      <c r="B4" s="43" t="s">
        <v>633</v>
      </c>
    </row>
    <row r="5" spans="1:2">
      <c r="A5" s="4">
        <v>4</v>
      </c>
      <c r="B5" s="43" t="s">
        <v>636</v>
      </c>
    </row>
    <row r="6" spans="1:3">
      <c r="A6" s="4">
        <v>5</v>
      </c>
      <c r="B6" s="43" t="s">
        <v>639</v>
      </c>
      <c r="C6" s="4" t="s">
        <v>1162</v>
      </c>
    </row>
    <row r="7" spans="1:3">
      <c r="A7" s="4">
        <v>6</v>
      </c>
      <c r="B7" s="43" t="s">
        <v>642</v>
      </c>
      <c r="C7" s="4" t="s">
        <v>1161</v>
      </c>
    </row>
    <row r="8" spans="1:3">
      <c r="A8" s="4">
        <v>7</v>
      </c>
      <c r="B8" s="43" t="s">
        <v>645</v>
      </c>
      <c r="C8" s="4" t="s">
        <v>1161</v>
      </c>
    </row>
    <row r="9" spans="1:3">
      <c r="A9" s="4">
        <v>8</v>
      </c>
      <c r="B9" s="43" t="s">
        <v>647</v>
      </c>
      <c r="C9" s="44" t="s">
        <v>1163</v>
      </c>
    </row>
    <row r="10" spans="1:2">
      <c r="A10" s="4">
        <v>9</v>
      </c>
      <c r="B10" s="43" t="s">
        <v>649</v>
      </c>
    </row>
    <row r="11" spans="1:3">
      <c r="A11" s="4">
        <v>10</v>
      </c>
      <c r="B11" s="43" t="s">
        <v>651</v>
      </c>
      <c r="C11" s="4" t="s">
        <v>1162</v>
      </c>
    </row>
    <row r="12" spans="1:3">
      <c r="A12" s="4">
        <v>11</v>
      </c>
      <c r="B12" s="43" t="s">
        <v>653</v>
      </c>
      <c r="C12" s="4" t="s">
        <v>1161</v>
      </c>
    </row>
    <row r="13" spans="1:3">
      <c r="A13" s="4">
        <v>12</v>
      </c>
      <c r="B13" s="43" t="s">
        <v>656</v>
      </c>
      <c r="C13" s="44" t="s">
        <v>1164</v>
      </c>
    </row>
    <row r="14" spans="1:2">
      <c r="A14" s="4">
        <v>13</v>
      </c>
      <c r="B14" s="43" t="s">
        <v>658</v>
      </c>
    </row>
    <row r="15" spans="1:1">
      <c r="A15" s="4">
        <v>14</v>
      </c>
    </row>
    <row r="16" spans="1:1">
      <c r="A16" s="4">
        <v>15</v>
      </c>
    </row>
  </sheetData>
</worksheet>
</file>

<file path=xl/worksheets/sheet18.xml><?xml version="1.0" encoding="utf-8"?>
<worksheet xmlns="http://schemas.openxmlformats.org/spreadsheetml/2006/main">
  <sheetPr codeName="旅店收益">
    <tabColor/>
  </sheetPr>
  <dimension ref="G46"/>
  <sheetViews>
    <sheetView showGridLines="1" workbookViewId="0"/>
  </sheetViews>
  <sheetFormatPr baseColWidth="13" defaultRowHeight="18" customHeight="1"/>
  <cols>
    <col min="1" max="1" width="5.80078" customWidth="1"/>
    <col min="2" max="2" width="17.3906" customWidth="1"/>
    <col min="3" max="3" width="9.17188" customWidth="1"/>
    <col min="4" max="4" width="12.0039" customWidth="1"/>
    <col min="5" max="5" width="9.44141" customWidth="1"/>
    <col min="6" max="6" width="15.1016" customWidth="1"/>
    <col min="7" max="7" width="16.9922" customWidth="1"/>
  </cols>
  <sheetData>
    <row r="1" spans="1:7">
      <c r="A1" s="4" t="s">
        <v>1153</v>
      </c>
      <c r="B1" s="4" t="s">
        <v>991</v>
      </c>
      <c r="C1" s="4" t="s">
        <v>1165</v>
      </c>
      <c r="D1" s="4" t="s">
        <v>1166</v>
      </c>
      <c r="E1" s="4" t="s">
        <v>1167</v>
      </c>
      <c r="F1" s="4" t="s">
        <v>1168</v>
      </c>
      <c r="G1" s="4" t="s">
        <v>1169</v>
      </c>
    </row>
    <row r="2" spans="1:7">
      <c r="A2" s="44">
        <v>1</v>
      </c>
      <c r="B2" s="4" t="s">
        <v>1170</v>
      </c>
      <c r="C2" s="44">
        <v>1</v>
      </c>
      <c r="D2" s="4">
        <v>100</v>
      </c>
      <c r="E2" s="4">
        <v>0</v>
      </c>
      <c r="F2" s="4">
        <v>500</v>
      </c>
      <c r="G2" s="4">
        <v>0</v>
      </c>
    </row>
    <row r="3" spans="1:7">
      <c r="A3" s="44">
        <v>2</v>
      </c>
      <c r="B3" s="4" t="s">
        <v>1170</v>
      </c>
      <c r="C3" s="44">
        <v>2</v>
      </c>
      <c r="D3" s="4">
        <v>150</v>
      </c>
      <c r="E3" s="4">
        <v>0</v>
      </c>
      <c r="F3" s="4">
        <v>1000</v>
      </c>
      <c r="G3" s="4">
        <v>0</v>
      </c>
    </row>
    <row r="4" spans="1:7">
      <c r="A4" s="44">
        <v>3</v>
      </c>
      <c r="B4" s="4" t="s">
        <v>1170</v>
      </c>
      <c r="C4" s="44">
        <v>3</v>
      </c>
      <c r="D4" s="4">
        <v>250</v>
      </c>
      <c r="E4" s="4">
        <v>0</v>
      </c>
      <c r="G4" s="4" t="s">
        <v>1171</v>
      </c>
    </row>
    <row r="5" spans="1:7">
      <c r="A5" s="44">
        <v>4</v>
      </c>
      <c r="B5" s="4" t="s">
        <v>1170</v>
      </c>
      <c r="C5" s="44">
        <v>4</v>
      </c>
      <c r="D5" s="4">
        <v>500</v>
      </c>
      <c r="E5" s="4">
        <v>0</v>
      </c>
      <c r="G5" s="4" t="s">
        <v>1172</v>
      </c>
    </row>
    <row r="6" spans="1:7">
      <c r="A6" s="44">
        <v>5</v>
      </c>
      <c r="B6" s="4" t="s">
        <v>1170</v>
      </c>
      <c r="C6" s="44">
        <v>5</v>
      </c>
      <c r="D6" s="4">
        <v>1000</v>
      </c>
      <c r="E6" s="4">
        <v>0</v>
      </c>
      <c r="G6" s="4" t="s">
        <v>1173</v>
      </c>
    </row>
    <row r="7" spans="1:7">
      <c r="A7" s="44">
        <v>6</v>
      </c>
      <c r="B7" s="4" t="s">
        <v>1174</v>
      </c>
      <c r="C7" s="44">
        <v>1</v>
      </c>
      <c r="E7" s="4">
        <v>0</v>
      </c>
      <c r="G7" s="4">
        <v>0</v>
      </c>
    </row>
    <row r="8" spans="1:7">
      <c r="A8" s="44">
        <v>7</v>
      </c>
      <c r="B8" s="4" t="s">
        <v>1174</v>
      </c>
      <c r="C8" s="44">
        <v>2</v>
      </c>
      <c r="E8" s="4">
        <v>0</v>
      </c>
      <c r="G8" s="4" t="s">
        <v>1175</v>
      </c>
    </row>
    <row r="9" spans="1:7">
      <c r="A9" s="44">
        <v>8</v>
      </c>
      <c r="B9" s="4" t="s">
        <v>1174</v>
      </c>
      <c r="C9" s="44">
        <v>3</v>
      </c>
      <c r="E9" s="4">
        <v>0</v>
      </c>
      <c r="G9" s="4" t="s">
        <v>1176</v>
      </c>
    </row>
    <row r="10" spans="1:7">
      <c r="A10" s="44">
        <v>9</v>
      </c>
      <c r="B10" s="4" t="s">
        <v>1174</v>
      </c>
      <c r="C10" s="44">
        <v>4</v>
      </c>
      <c r="E10" s="4">
        <v>0</v>
      </c>
      <c r="G10" s="4" t="s">
        <v>1177</v>
      </c>
    </row>
    <row r="11" spans="1:7">
      <c r="A11" s="44">
        <v>10</v>
      </c>
      <c r="B11" s="4" t="s">
        <v>1174</v>
      </c>
      <c r="C11" s="44">
        <v>5</v>
      </c>
      <c r="E11" s="4">
        <v>0</v>
      </c>
      <c r="G11" s="4" t="s">
        <v>1178</v>
      </c>
    </row>
    <row r="12" spans="1:7">
      <c r="A12" s="44">
        <v>11</v>
      </c>
      <c r="B12" s="4" t="s">
        <v>1179</v>
      </c>
      <c r="C12" s="44">
        <v>1</v>
      </c>
      <c r="E12" s="4">
        <v>0</v>
      </c>
      <c r="G12" s="4">
        <v>0</v>
      </c>
    </row>
    <row r="13" spans="1:7">
      <c r="A13" s="44">
        <v>12</v>
      </c>
      <c r="B13" s="4" t="s">
        <v>1179</v>
      </c>
      <c r="C13" s="44">
        <v>2</v>
      </c>
      <c r="E13" s="4">
        <v>0</v>
      </c>
      <c r="G13" s="4" t="s">
        <v>1175</v>
      </c>
    </row>
    <row r="14" spans="1:7">
      <c r="A14" s="44">
        <v>13</v>
      </c>
      <c r="B14" s="4" t="s">
        <v>1179</v>
      </c>
      <c r="C14" s="44">
        <v>3</v>
      </c>
      <c r="E14" s="4">
        <v>0</v>
      </c>
      <c r="G14" s="4" t="s">
        <v>1176</v>
      </c>
    </row>
    <row r="15" spans="1:7">
      <c r="A15" s="4">
        <v>14</v>
      </c>
      <c r="B15" s="4" t="s">
        <v>1179</v>
      </c>
      <c r="C15" s="44">
        <v>4</v>
      </c>
      <c r="E15" s="4">
        <v>0</v>
      </c>
      <c r="G15" s="4" t="s">
        <v>1177</v>
      </c>
    </row>
    <row r="16" spans="1:7">
      <c r="A16" s="4">
        <v>15</v>
      </c>
      <c r="B16" s="4" t="s">
        <v>1179</v>
      </c>
      <c r="C16" s="44">
        <v>5</v>
      </c>
      <c r="E16" s="4">
        <v>0</v>
      </c>
      <c r="G16" s="4" t="s">
        <v>1178</v>
      </c>
    </row>
    <row r="17" spans="1:7">
      <c r="A17" s="44">
        <v>16</v>
      </c>
      <c r="B17" s="4" t="s">
        <v>1180</v>
      </c>
      <c r="C17" s="44">
        <v>1</v>
      </c>
      <c r="E17" s="4">
        <v>0</v>
      </c>
      <c r="G17" s="4">
        <v>0</v>
      </c>
    </row>
    <row r="18" spans="1:7">
      <c r="A18" s="44">
        <v>17</v>
      </c>
      <c r="B18" s="4" t="s">
        <v>1180</v>
      </c>
      <c r="C18" s="44">
        <v>2</v>
      </c>
      <c r="E18" s="4">
        <v>0</v>
      </c>
      <c r="G18" s="4" t="s">
        <v>1175</v>
      </c>
    </row>
    <row r="19" spans="1:7">
      <c r="A19" s="44">
        <v>18</v>
      </c>
      <c r="B19" s="4" t="s">
        <v>1180</v>
      </c>
      <c r="C19" s="44">
        <v>3</v>
      </c>
      <c r="E19" s="4">
        <v>0</v>
      </c>
      <c r="G19" s="4" t="s">
        <v>1176</v>
      </c>
    </row>
    <row r="20" spans="1:7">
      <c r="A20" s="44">
        <v>19</v>
      </c>
      <c r="B20" s="4" t="s">
        <v>1180</v>
      </c>
      <c r="C20" s="44">
        <v>4</v>
      </c>
      <c r="E20" s="4">
        <v>0</v>
      </c>
      <c r="G20" s="4" t="s">
        <v>1177</v>
      </c>
    </row>
    <row r="21" spans="1:7">
      <c r="A21" s="44">
        <v>20</v>
      </c>
      <c r="B21" s="4" t="s">
        <v>1180</v>
      </c>
      <c r="C21" s="44">
        <v>5</v>
      </c>
      <c r="E21" s="4">
        <v>0</v>
      </c>
      <c r="G21" s="4" t="s">
        <v>1178</v>
      </c>
    </row>
    <row r="22" spans="1:7">
      <c r="A22" s="44">
        <v>21</v>
      </c>
      <c r="B22" s="4" t="s">
        <v>1181</v>
      </c>
      <c r="C22" s="44">
        <v>1</v>
      </c>
      <c r="E22" s="4">
        <v>0</v>
      </c>
      <c r="G22" s="4">
        <v>0</v>
      </c>
    </row>
    <row r="23" spans="1:7">
      <c r="A23" s="44">
        <v>22</v>
      </c>
      <c r="B23" s="4" t="s">
        <v>1181</v>
      </c>
      <c r="C23" s="44">
        <v>2</v>
      </c>
      <c r="E23" s="4">
        <v>0</v>
      </c>
      <c r="G23" s="4" t="s">
        <v>1175</v>
      </c>
    </row>
    <row r="24" spans="1:7">
      <c r="A24" s="44">
        <v>23</v>
      </c>
      <c r="B24" s="4" t="s">
        <v>1181</v>
      </c>
      <c r="C24" s="44">
        <v>3</v>
      </c>
      <c r="E24" s="4">
        <v>0</v>
      </c>
      <c r="G24" s="4" t="s">
        <v>1176</v>
      </c>
    </row>
    <row r="25" spans="1:7">
      <c r="A25" s="44">
        <v>24</v>
      </c>
      <c r="B25" s="4" t="s">
        <v>1181</v>
      </c>
      <c r="C25" s="44">
        <v>4</v>
      </c>
      <c r="E25" s="4">
        <v>0</v>
      </c>
      <c r="G25" s="4" t="s">
        <v>1177</v>
      </c>
    </row>
    <row r="26" spans="1:7">
      <c r="A26" s="44">
        <v>25</v>
      </c>
      <c r="B26" s="4" t="s">
        <v>1181</v>
      </c>
      <c r="C26" s="44">
        <v>5</v>
      </c>
      <c r="E26" s="4">
        <v>0</v>
      </c>
      <c r="G26" s="4" t="s">
        <v>1178</v>
      </c>
    </row>
    <row r="27" spans="1:7">
      <c r="A27" s="44">
        <v>26</v>
      </c>
      <c r="B27" s="4" t="s">
        <v>1182</v>
      </c>
      <c r="C27" s="44">
        <v>1</v>
      </c>
      <c r="E27" s="4">
        <v>0</v>
      </c>
      <c r="G27" s="4">
        <v>0</v>
      </c>
    </row>
    <row r="28" spans="1:7">
      <c r="A28" s="44">
        <v>27</v>
      </c>
      <c r="B28" s="4" t="s">
        <v>1182</v>
      </c>
      <c r="C28" s="44">
        <v>2</v>
      </c>
      <c r="E28" s="4">
        <v>0</v>
      </c>
      <c r="G28" s="4" t="s">
        <v>1175</v>
      </c>
    </row>
    <row r="29" spans="1:7">
      <c r="A29" s="44">
        <v>28</v>
      </c>
      <c r="B29" s="4" t="s">
        <v>1182</v>
      </c>
      <c r="C29" s="44">
        <v>3</v>
      </c>
      <c r="E29" s="4">
        <v>0</v>
      </c>
      <c r="G29" s="4" t="s">
        <v>1176</v>
      </c>
    </row>
    <row r="30" spans="1:7">
      <c r="A30" s="44">
        <v>29</v>
      </c>
      <c r="B30" s="4" t="s">
        <v>1182</v>
      </c>
      <c r="C30" s="44">
        <v>4</v>
      </c>
      <c r="E30" s="4">
        <v>0</v>
      </c>
      <c r="G30" s="4" t="s">
        <v>1177</v>
      </c>
    </row>
    <row r="31" spans="1:7">
      <c r="A31" s="44">
        <v>30</v>
      </c>
      <c r="B31" s="4" t="s">
        <v>1182</v>
      </c>
      <c r="C31" s="44">
        <v>5</v>
      </c>
      <c r="E31" s="4">
        <v>0</v>
      </c>
      <c r="G31" s="4" t="s">
        <v>1178</v>
      </c>
    </row>
    <row r="32" spans="1:7">
      <c r="A32" s="44">
        <v>31</v>
      </c>
      <c r="B32" s="4" t="s">
        <v>1183</v>
      </c>
      <c r="C32" s="44">
        <v>1</v>
      </c>
      <c r="D32" s="4">
        <v>0</v>
      </c>
      <c r="E32" s="4">
        <v>0</v>
      </c>
      <c r="F32" s="4">
        <v>0</v>
      </c>
      <c r="G32" s="4" t="s">
        <v>1184</v>
      </c>
    </row>
    <row r="33" spans="1:6">
      <c r="A33" s="44">
        <v>32</v>
      </c>
      <c r="B33" s="4" t="s">
        <v>1183</v>
      </c>
      <c r="C33" s="44">
        <v>2</v>
      </c>
      <c r="D33" s="4">
        <v>100</v>
      </c>
      <c r="E33" s="69">
        <v>0.1</v>
      </c>
      <c r="F33" s="4">
        <v>0</v>
      </c>
    </row>
    <row r="34" spans="1:6">
      <c r="A34" s="44">
        <v>33</v>
      </c>
      <c r="B34" s="4" t="s">
        <v>1183</v>
      </c>
      <c r="C34" s="44">
        <v>3</v>
      </c>
      <c r="D34" s="4">
        <v>500</v>
      </c>
      <c r="E34" s="69">
        <v>0.3</v>
      </c>
      <c r="F34" s="4">
        <v>0</v>
      </c>
    </row>
    <row r="35" spans="1:6">
      <c r="A35" s="44">
        <v>34</v>
      </c>
      <c r="B35" s="4" t="s">
        <v>1183</v>
      </c>
      <c r="C35" s="44">
        <v>4</v>
      </c>
      <c r="D35" s="4">
        <v>2000</v>
      </c>
      <c r="E35" s="69">
        <v>0.8</v>
      </c>
      <c r="F35" s="4">
        <v>0</v>
      </c>
    </row>
    <row r="36" spans="1:6">
      <c r="A36" s="44">
        <v>35</v>
      </c>
      <c r="B36" s="4" t="s">
        <v>1183</v>
      </c>
      <c r="C36" s="44">
        <v>5</v>
      </c>
      <c r="D36" s="4">
        <v>5000</v>
      </c>
      <c r="E36" s="69">
        <v>2</v>
      </c>
      <c r="F36" s="4">
        <v>0</v>
      </c>
    </row>
    <row r="37" spans="1:6">
      <c r="A37" s="44">
        <v>36</v>
      </c>
      <c r="B37" s="4" t="s">
        <v>1185</v>
      </c>
      <c r="C37" s="44">
        <v>1</v>
      </c>
      <c r="D37" s="4">
        <v>0</v>
      </c>
      <c r="E37" s="4">
        <v>0</v>
      </c>
      <c r="F37" s="4">
        <v>0</v>
      </c>
    </row>
    <row r="38" spans="1:6">
      <c r="A38" s="44">
        <v>37</v>
      </c>
      <c r="B38" s="4" t="s">
        <v>1185</v>
      </c>
      <c r="C38" s="44">
        <v>2</v>
      </c>
      <c r="D38" s="4">
        <v>100</v>
      </c>
      <c r="E38" s="69">
        <v>0.1</v>
      </c>
      <c r="F38" s="4">
        <v>0</v>
      </c>
    </row>
    <row r="39" spans="1:6">
      <c r="A39" s="44">
        <v>38</v>
      </c>
      <c r="B39" s="4" t="s">
        <v>1185</v>
      </c>
      <c r="C39" s="44">
        <v>3</v>
      </c>
      <c r="D39" s="4">
        <v>500</v>
      </c>
      <c r="E39" s="69">
        <v>0.2</v>
      </c>
      <c r="F39" s="4">
        <v>0</v>
      </c>
    </row>
    <row r="40" spans="1:6">
      <c r="A40" s="44">
        <v>39</v>
      </c>
      <c r="B40" s="4" t="s">
        <v>1185</v>
      </c>
      <c r="C40" s="44">
        <v>4</v>
      </c>
      <c r="D40" s="4">
        <v>2000</v>
      </c>
      <c r="E40" s="69">
        <v>0.5</v>
      </c>
      <c r="F40" s="4">
        <v>0</v>
      </c>
    </row>
    <row r="41" spans="1:6">
      <c r="A41" s="44">
        <v>40</v>
      </c>
      <c r="B41" s="4" t="s">
        <v>1185</v>
      </c>
      <c r="C41" s="44">
        <v>5</v>
      </c>
      <c r="D41" s="4">
        <v>5000</v>
      </c>
      <c r="E41" s="69">
        <v>1</v>
      </c>
      <c r="F41" s="4">
        <v>0</v>
      </c>
    </row>
    <row r="42" spans="1:6">
      <c r="A42" s="44">
        <v>41</v>
      </c>
      <c r="B42" s="4" t="s">
        <v>1186</v>
      </c>
      <c r="C42" s="44">
        <v>1</v>
      </c>
      <c r="D42" s="4">
        <v>0</v>
      </c>
      <c r="E42" s="4">
        <v>0</v>
      </c>
      <c r="F42" s="4">
        <v>0</v>
      </c>
    </row>
    <row r="43" spans="1:6">
      <c r="A43" s="44">
        <v>42</v>
      </c>
      <c r="B43" s="4" t="s">
        <v>1186</v>
      </c>
      <c r="C43" s="44">
        <v>2</v>
      </c>
      <c r="D43" s="4">
        <v>100</v>
      </c>
      <c r="E43" s="69">
        <v>0.25</v>
      </c>
      <c r="F43" s="4">
        <v>0</v>
      </c>
    </row>
    <row r="44" spans="1:6">
      <c r="A44" s="44">
        <v>43</v>
      </c>
      <c r="B44" s="4" t="s">
        <v>1186</v>
      </c>
      <c r="C44" s="44">
        <v>3</v>
      </c>
      <c r="D44" s="4">
        <v>500</v>
      </c>
      <c r="E44" s="69">
        <v>0.5</v>
      </c>
      <c r="F44" s="4">
        <v>0</v>
      </c>
    </row>
    <row r="45" spans="1:6">
      <c r="A45" s="44">
        <v>44</v>
      </c>
      <c r="B45" s="4" t="s">
        <v>1186</v>
      </c>
      <c r="C45" s="44">
        <v>4</v>
      </c>
      <c r="D45" s="4">
        <v>2000</v>
      </c>
      <c r="E45" s="69">
        <v>1</v>
      </c>
      <c r="F45" s="4">
        <v>0</v>
      </c>
    </row>
    <row r="46" spans="1:6">
      <c r="A46" s="44">
        <v>45</v>
      </c>
      <c r="B46" s="4" t="s">
        <v>1186</v>
      </c>
      <c r="C46" s="44">
        <v>5</v>
      </c>
      <c r="D46" s="4">
        <v>5000</v>
      </c>
      <c r="E46" s="69">
        <v>2</v>
      </c>
      <c r="F46" s="4">
        <v>0</v>
      </c>
    </row>
  </sheetData>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2026-09-23T15:59:37Z</dcterms:created>
  <dcterms:modified xsi:type="dcterms:W3CDTF">2026-09-23T15:59:37Z</dcterms:modified>
</cp:coreProperties>
</file>